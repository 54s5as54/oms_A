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yaz Hussain Shah\Desktop\"/>
    </mc:Choice>
  </mc:AlternateContent>
  <xr:revisionPtr revIDLastSave="0" documentId="13_ncr:1_{5D46EFD1-847C-4286-817E-80111A5E4B1A}" xr6:coauthVersionLast="47" xr6:coauthVersionMax="47" xr10:uidLastSave="{00000000-0000-0000-0000-000000000000}"/>
  <bookViews>
    <workbookView xWindow="-120" yWindow="-120" windowWidth="20730" windowHeight="11160" xr2:uid="{00000000-000D-0000-FFFF-FFFF00000000}"/>
  </bookViews>
  <sheets>
    <sheet name="DV Details " sheetId="3" r:id="rId1"/>
    <sheet name="Sheet1" sheetId="21" r:id="rId2"/>
    <sheet name="Ghazi Abu Bakkar" sheetId="20" state="hidden" r:id="rId3"/>
    <sheet name="SIM &amp; Emp data" sheetId="16" r:id="rId4"/>
    <sheet name="DV Table" sheetId="15" state="hidden" r:id="rId5"/>
    <sheet name="Gate pass " sheetId="12" state="hidden" r:id="rId6"/>
    <sheet name="IRFAN" sheetId="11" state="hidden" r:id="rId7"/>
    <sheet name="COD Sunday" sheetId="17" r:id="rId8"/>
    <sheet name="Sunday Details" sheetId="2" r:id="rId9"/>
    <sheet name="SUnday " sheetId="19" state="hidden" r:id="rId10"/>
    <sheet name="HO Delete Remarks" sheetId="6" state="hidden" r:id="rId11"/>
    <sheet name="Zeeshan " sheetId="1" r:id="rId12"/>
    <sheet name=" RTS OLD CN DATA" sheetId="8" state="hidden" r:id="rId13"/>
    <sheet name="Shevoice t1" sheetId="9" r:id="rId14"/>
  </sheets>
  <externalReferences>
    <externalReference r:id="rId15"/>
  </externalReferences>
  <definedNames>
    <definedName name="_xlnm._FilterDatabase" localSheetId="12" hidden="1">' RTS OLD CN DATA'!$A$1:$C$59</definedName>
    <definedName name="_xlnm._FilterDatabase" localSheetId="7" hidden="1">'COD Sunday'!$F$1:$G$120</definedName>
    <definedName name="_xlnm._FilterDatabase" localSheetId="0" hidden="1">'DV Details '!$D$2:$E$25</definedName>
    <definedName name="_xlnm._FilterDatabase" localSheetId="4" hidden="1">'DV Table'!$A$1:$G$21</definedName>
    <definedName name="_xlnm._FilterDatabase" localSheetId="5" hidden="1">'Gate pass '!$A$1:$E$158</definedName>
    <definedName name="_xlnm._FilterDatabase" localSheetId="2" hidden="1">'Ghazi Abu Bakkar'!$A$1:$F$301</definedName>
    <definedName name="_xlnm._FilterDatabase" localSheetId="10" hidden="1">'HO Delete Remarks'!$A$1:$C$33</definedName>
    <definedName name="_xlnm._FilterDatabase" localSheetId="6" hidden="1">IRFAN!$A$1:$E$1647</definedName>
    <definedName name="_xlnm._FilterDatabase" localSheetId="1" hidden="1">Sheet1!$A$1:$G$40</definedName>
    <definedName name="_xlnm._FilterDatabase" localSheetId="13" hidden="1">'Shevoice t1'!$U$6:$X$65</definedName>
    <definedName name="_xlnm._FilterDatabase" localSheetId="3" hidden="1">'SIM &amp; Emp data'!$L$1:$R$45</definedName>
    <definedName name="_xlnm._FilterDatabase" localSheetId="9" hidden="1">'SUnday '!$A$1:$C$28</definedName>
    <definedName name="_xlnm._FilterDatabase" localSheetId="8" hidden="1">'Sunday Details'!$A$1:$C$18</definedName>
    <definedName name="_xlnm._FilterDatabase" localSheetId="11" hidden="1">'Zeeshan '!$H$2:$J$10</definedName>
    <definedName name="Login" localSheetId="2">'Ghazi Abu Bakkar'!#REF!</definedName>
    <definedName name="Slicer_Courier_Name1">#N/A</definedName>
  </definedNames>
  <calcPr calcId="191029"/>
  <pivotCaches>
    <pivotCache cacheId="0"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14" i="3" l="1"/>
  <c r="Z13" i="3"/>
  <c r="W14" i="3"/>
  <c r="AE14" i="3"/>
  <c r="G7" i="3" l="1"/>
  <c r="R5" i="3"/>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F59" i="20"/>
  <c r="F60" i="20"/>
  <c r="F61" i="20"/>
  <c r="F62" i="20"/>
  <c r="F63" i="20"/>
  <c r="F64" i="20"/>
  <c r="F65" i="20"/>
  <c r="F66" i="20"/>
  <c r="F67" i="20"/>
  <c r="F68" i="20"/>
  <c r="F69" i="20"/>
  <c r="F70" i="20"/>
  <c r="F71" i="20"/>
  <c r="F72" i="20"/>
  <c r="F73" i="20"/>
  <c r="F74" i="20"/>
  <c r="F75" i="20"/>
  <c r="F76" i="20"/>
  <c r="F77" i="20"/>
  <c r="F78" i="20"/>
  <c r="F79" i="20"/>
  <c r="F80" i="20"/>
  <c r="F81" i="20"/>
  <c r="F82" i="20"/>
  <c r="C3" i="20" l="1"/>
  <c r="C4" i="20"/>
  <c r="C5" i="20"/>
  <c r="C6" i="20"/>
  <c r="C76" i="20"/>
  <c r="C7" i="20"/>
  <c r="C77" i="20"/>
  <c r="C8" i="20"/>
  <c r="C78" i="20"/>
  <c r="C9" i="20"/>
  <c r="C80" i="20"/>
  <c r="C10" i="20"/>
  <c r="C11" i="20"/>
  <c r="C12" i="20"/>
  <c r="C63" i="20"/>
  <c r="C13" i="20"/>
  <c r="C14" i="20"/>
  <c r="C15" i="20"/>
  <c r="C16" i="20"/>
  <c r="C17" i="20"/>
  <c r="C64" i="20"/>
  <c r="C18" i="20"/>
  <c r="C19" i="20"/>
  <c r="C20" i="20"/>
  <c r="C21" i="20"/>
  <c r="C22" i="20"/>
  <c r="C23" i="20"/>
  <c r="C24" i="20"/>
  <c r="C25" i="20"/>
  <c r="C26" i="20"/>
  <c r="C65" i="20"/>
  <c r="C27" i="20"/>
  <c r="C66" i="20"/>
  <c r="C67" i="20"/>
  <c r="C68" i="20"/>
  <c r="C28" i="20"/>
  <c r="C69" i="20"/>
  <c r="C29" i="20"/>
  <c r="C30" i="20"/>
  <c r="C31" i="20"/>
  <c r="C32" i="20"/>
  <c r="C70" i="20"/>
  <c r="C33" i="20"/>
  <c r="C34" i="20"/>
  <c r="C71" i="20"/>
  <c r="C35" i="20"/>
  <c r="C36" i="20"/>
  <c r="C37" i="20"/>
  <c r="C81" i="20"/>
  <c r="C82" i="20"/>
  <c r="C38" i="20"/>
  <c r="C39" i="20"/>
  <c r="C40" i="20"/>
  <c r="C41" i="20"/>
  <c r="C59" i="20"/>
  <c r="C42" i="20"/>
  <c r="C43" i="20"/>
  <c r="C44" i="20"/>
  <c r="C45" i="20"/>
  <c r="C72" i="20"/>
  <c r="C46" i="20"/>
  <c r="C73" i="20"/>
  <c r="C47" i="20"/>
  <c r="C48" i="20"/>
  <c r="C74" i="20"/>
  <c r="C49" i="20"/>
  <c r="C75" i="20"/>
  <c r="C50" i="20"/>
  <c r="C51" i="20"/>
  <c r="C58" i="20"/>
  <c r="C52" i="20"/>
  <c r="C53" i="20"/>
  <c r="C54" i="20"/>
  <c r="C55" i="20"/>
  <c r="C56" i="20"/>
  <c r="C57" i="20"/>
  <c r="C62" i="20"/>
  <c r="C60" i="20"/>
  <c r="C61" i="20"/>
  <c r="C79" i="20"/>
  <c r="C2" i="20"/>
  <c r="A3" i="20"/>
  <c r="A4" i="20" s="1"/>
  <c r="G2" i="3" l="1"/>
  <c r="I15" i="3"/>
  <c r="K15" i="3" s="1"/>
  <c r="H71" i="9"/>
  <c r="H66" i="9"/>
  <c r="F22" i="19"/>
  <c r="G22" i="19" s="1"/>
  <c r="J22" i="19"/>
  <c r="K22" i="19" s="1"/>
  <c r="J2" i="19"/>
  <c r="K2" i="19" s="1"/>
  <c r="J3" i="19"/>
  <c r="K3" i="19" s="1"/>
  <c r="J4" i="19"/>
  <c r="K4" i="19" s="1"/>
  <c r="J6" i="19"/>
  <c r="K6" i="19" s="1"/>
  <c r="J7" i="19"/>
  <c r="K7" i="19" s="1"/>
  <c r="J18" i="19"/>
  <c r="K18" i="19" s="1"/>
  <c r="J5" i="19"/>
  <c r="K5" i="19" s="1"/>
  <c r="J28" i="19"/>
  <c r="K28" i="19" s="1"/>
  <c r="J10" i="19"/>
  <c r="K10" i="19" s="1"/>
  <c r="J8" i="19"/>
  <c r="K8" i="19" s="1"/>
  <c r="J9" i="19"/>
  <c r="K9" i="19" s="1"/>
  <c r="J25" i="19"/>
  <c r="K25" i="19" s="1"/>
  <c r="J17" i="19"/>
  <c r="K17" i="19" s="1"/>
  <c r="J26" i="19"/>
  <c r="K26" i="19" s="1"/>
  <c r="J27" i="19"/>
  <c r="K27" i="19" s="1"/>
  <c r="J11" i="19"/>
  <c r="K11" i="19" s="1"/>
  <c r="J12" i="19"/>
  <c r="K12" i="19" s="1"/>
  <c r="J19" i="19"/>
  <c r="K19" i="19" s="1"/>
  <c r="J13" i="19"/>
  <c r="K13" i="19" s="1"/>
  <c r="J14" i="19"/>
  <c r="K14" i="19" s="1"/>
  <c r="J16" i="19"/>
  <c r="K16" i="19" s="1"/>
  <c r="J15" i="19"/>
  <c r="K15" i="19" s="1"/>
  <c r="J23" i="19"/>
  <c r="K23" i="19" s="1"/>
  <c r="J24" i="19"/>
  <c r="K24" i="19" s="1"/>
  <c r="J20" i="19"/>
  <c r="K20" i="19" s="1"/>
  <c r="J21" i="19"/>
  <c r="K21" i="19" s="1"/>
  <c r="F2" i="19"/>
  <c r="G2" i="19" s="1"/>
  <c r="F3" i="19"/>
  <c r="G3" i="19" s="1"/>
  <c r="F4" i="19"/>
  <c r="G4" i="19" s="1"/>
  <c r="F6" i="19"/>
  <c r="G6" i="19" s="1"/>
  <c r="F7" i="19"/>
  <c r="G7" i="19" s="1"/>
  <c r="F18" i="19"/>
  <c r="G18" i="19" s="1"/>
  <c r="F5" i="19"/>
  <c r="G5" i="19" s="1"/>
  <c r="F28" i="19"/>
  <c r="G28" i="19" s="1"/>
  <c r="F10" i="19"/>
  <c r="G10" i="19" s="1"/>
  <c r="F8" i="19"/>
  <c r="G8" i="19" s="1"/>
  <c r="F9" i="19"/>
  <c r="G9" i="19" s="1"/>
  <c r="F25" i="19"/>
  <c r="G25" i="19" s="1"/>
  <c r="F17" i="19"/>
  <c r="G17" i="19" s="1"/>
  <c r="F26" i="19"/>
  <c r="G26" i="19" s="1"/>
  <c r="F27" i="19"/>
  <c r="G27" i="19" s="1"/>
  <c r="F11" i="19"/>
  <c r="G11" i="19" s="1"/>
  <c r="F12" i="19"/>
  <c r="G12" i="19" s="1"/>
  <c r="F19" i="19"/>
  <c r="G19" i="19" s="1"/>
  <c r="F13" i="19"/>
  <c r="G13" i="19" s="1"/>
  <c r="F14" i="19"/>
  <c r="G14" i="19" s="1"/>
  <c r="F16" i="19"/>
  <c r="G16" i="19" s="1"/>
  <c r="F15" i="19"/>
  <c r="G15" i="19" s="1"/>
  <c r="F23" i="19"/>
  <c r="G23" i="19" s="1"/>
  <c r="F24" i="19"/>
  <c r="G24" i="19" s="1"/>
  <c r="F20" i="19"/>
  <c r="G20" i="19" s="1"/>
  <c r="F21" i="19"/>
  <c r="G21" i="19" s="1"/>
  <c r="C29" i="19"/>
  <c r="H67" i="9" l="1"/>
  <c r="L22" i="19"/>
  <c r="L24" i="19"/>
  <c r="L14" i="19"/>
  <c r="L11" i="19"/>
  <c r="L25" i="19"/>
  <c r="L28" i="19"/>
  <c r="L6" i="19"/>
  <c r="L23" i="19"/>
  <c r="L13" i="19"/>
  <c r="L27" i="19"/>
  <c r="L9" i="19"/>
  <c r="L5" i="19"/>
  <c r="L4" i="19"/>
  <c r="L21" i="19"/>
  <c r="L15" i="19"/>
  <c r="L19" i="19"/>
  <c r="L26" i="19"/>
  <c r="L8" i="19"/>
  <c r="L18" i="19"/>
  <c r="L3" i="19"/>
  <c r="L20" i="19"/>
  <c r="L16" i="19"/>
  <c r="L12" i="19"/>
  <c r="L17" i="19"/>
  <c r="L10" i="19"/>
  <c r="L7" i="19"/>
  <c r="L2" i="19"/>
  <c r="G29" i="19"/>
  <c r="L29" i="19" l="1"/>
  <c r="J21" i="17" l="1"/>
  <c r="L21" i="17" s="1"/>
  <c r="I2" i="17"/>
  <c r="L4" i="3" l="1"/>
  <c r="N3" i="1" l="1"/>
  <c r="C22" i="15"/>
  <c r="D22" i="15"/>
  <c r="F20" i="15"/>
  <c r="G20" i="15" s="1"/>
  <c r="F21" i="15"/>
  <c r="G21" i="15" s="1"/>
  <c r="D2152" i="15"/>
  <c r="D2153" i="15"/>
  <c r="D2154" i="15"/>
  <c r="D2155" i="15"/>
  <c r="D2156" i="15"/>
  <c r="D2157" i="15"/>
  <c r="D2158" i="15"/>
  <c r="D2159" i="15"/>
  <c r="D2160" i="15"/>
  <c r="D2161" i="15"/>
  <c r="D2162" i="15"/>
  <c r="D2163" i="15"/>
  <c r="D2164" i="15"/>
  <c r="D2165" i="15"/>
  <c r="D2166" i="15"/>
  <c r="D2167" i="15"/>
  <c r="D2168" i="15"/>
  <c r="D2169" i="15"/>
  <c r="D2170" i="15"/>
  <c r="D2171" i="15"/>
  <c r="D2172" i="15"/>
  <c r="D2173" i="15"/>
  <c r="D2174" i="15"/>
  <c r="D2175" i="15"/>
  <c r="D2176" i="15"/>
  <c r="D2177" i="15"/>
  <c r="D2178" i="15"/>
  <c r="D2179" i="15"/>
  <c r="D2180" i="15"/>
  <c r="D2181" i="15"/>
  <c r="D2182" i="15"/>
  <c r="D2183" i="15"/>
  <c r="D2184" i="15"/>
  <c r="D2185" i="15"/>
  <c r="D2186" i="15"/>
  <c r="D2187" i="15"/>
  <c r="D2188" i="15"/>
  <c r="D2189" i="15"/>
  <c r="D2190" i="15"/>
  <c r="D2191" i="15"/>
  <c r="D2192" i="15"/>
  <c r="D2193" i="15"/>
  <c r="D2194" i="15"/>
  <c r="D2195" i="15"/>
  <c r="D2196" i="15"/>
  <c r="D2197" i="15"/>
  <c r="D2198" i="15"/>
  <c r="D2199" i="15"/>
  <c r="D2200" i="15"/>
  <c r="D2201" i="15"/>
  <c r="D2202" i="15"/>
  <c r="D2203" i="15"/>
  <c r="D2204" i="15"/>
  <c r="D2205" i="15"/>
  <c r="D2206" i="15"/>
  <c r="D2207" i="15"/>
  <c r="D2208" i="15"/>
  <c r="D2209" i="15"/>
  <c r="D2210" i="15"/>
  <c r="D2211" i="15"/>
  <c r="D2212" i="15"/>
  <c r="D2213" i="15"/>
  <c r="D2214" i="15"/>
  <c r="D2215" i="15"/>
  <c r="D2216" i="15"/>
  <c r="D2217" i="15"/>
  <c r="D2218" i="15"/>
  <c r="D2219" i="15"/>
  <c r="D2220" i="15"/>
  <c r="D2221" i="15"/>
  <c r="D2222" i="15"/>
  <c r="D2223" i="15"/>
  <c r="D2224" i="15"/>
  <c r="D2225" i="15"/>
  <c r="D2226" i="15"/>
  <c r="D2227" i="15"/>
  <c r="D2228" i="15"/>
  <c r="D2229" i="15"/>
  <c r="D2230" i="15"/>
  <c r="D2231" i="15"/>
  <c r="D2232" i="15"/>
  <c r="D2233" i="15"/>
  <c r="D2234" i="15"/>
  <c r="D2235" i="15"/>
  <c r="D2236" i="15"/>
  <c r="D2237" i="15"/>
  <c r="D2238" i="15"/>
  <c r="D2239" i="15"/>
  <c r="D2240" i="15"/>
  <c r="D2241" i="15"/>
  <c r="D2242" i="15"/>
  <c r="D2243" i="15"/>
  <c r="D2244" i="15"/>
  <c r="D2245" i="15"/>
  <c r="D2246" i="15"/>
  <c r="D2247" i="15"/>
  <c r="D2248" i="15"/>
  <c r="D2249" i="15"/>
  <c r="D2250" i="15"/>
  <c r="D2251" i="15"/>
  <c r="D2252" i="15"/>
  <c r="D2253" i="15"/>
  <c r="D2254" i="15"/>
  <c r="D2255" i="15"/>
  <c r="D2256" i="15"/>
  <c r="D2257" i="15"/>
  <c r="D2258" i="15"/>
  <c r="D2259" i="15"/>
  <c r="D2260" i="15"/>
  <c r="D2261" i="15"/>
  <c r="D2262" i="15"/>
  <c r="D2263" i="15"/>
  <c r="D2264" i="15"/>
  <c r="D2265" i="15"/>
  <c r="D2266" i="15"/>
  <c r="D2267" i="15"/>
  <c r="D2268" i="15"/>
  <c r="D2269" i="15"/>
  <c r="D2270" i="15"/>
  <c r="D2271" i="15"/>
  <c r="D2272" i="15"/>
  <c r="D2273" i="15"/>
  <c r="D2274" i="15"/>
  <c r="D2275" i="15"/>
  <c r="D2276" i="15"/>
  <c r="D2277" i="15"/>
  <c r="D2278" i="15"/>
  <c r="D2279" i="15"/>
  <c r="D2280" i="15"/>
  <c r="D2281" i="15"/>
  <c r="D2282" i="15"/>
  <c r="D2283" i="15"/>
  <c r="D2284" i="15"/>
  <c r="D2285" i="15"/>
  <c r="D2286" i="15"/>
  <c r="D2287" i="15"/>
  <c r="D2288" i="15"/>
  <c r="D2289" i="15"/>
  <c r="D2290" i="15"/>
  <c r="D2291" i="15"/>
  <c r="D2292" i="15"/>
  <c r="D2293" i="15"/>
  <c r="D2294" i="15"/>
  <c r="D2295" i="15"/>
  <c r="D2296" i="15"/>
  <c r="D2297" i="15"/>
  <c r="D2298" i="15"/>
  <c r="D2299" i="15"/>
  <c r="D2300" i="15"/>
  <c r="D2301" i="15"/>
  <c r="D2302" i="15"/>
  <c r="D2303" i="15"/>
  <c r="D2304" i="15"/>
  <c r="D2305" i="15"/>
  <c r="D2306" i="15"/>
  <c r="D2307" i="15"/>
  <c r="D2308" i="15"/>
  <c r="D2309" i="15"/>
  <c r="D2310" i="15"/>
  <c r="D2311" i="15"/>
  <c r="D2312" i="15"/>
  <c r="D2313" i="15"/>
  <c r="D2314" i="15"/>
  <c r="D2315" i="15"/>
  <c r="D2316" i="15"/>
  <c r="D2317" i="15"/>
  <c r="D2318" i="15"/>
  <c r="D2319" i="15"/>
  <c r="D2320" i="15"/>
  <c r="D2321" i="15"/>
  <c r="D2322" i="15"/>
  <c r="D2323" i="15"/>
  <c r="D2324" i="15"/>
  <c r="D2325" i="15"/>
  <c r="D2326" i="15"/>
  <c r="D2327" i="15"/>
  <c r="D2328" i="15"/>
  <c r="D2329" i="15"/>
  <c r="D2330" i="15"/>
  <c r="D2331" i="15"/>
  <c r="D2332" i="15"/>
  <c r="D2333" i="15"/>
  <c r="D2334" i="15"/>
  <c r="D2335" i="15"/>
  <c r="D2336" i="15"/>
  <c r="D2337" i="15"/>
  <c r="D2338" i="15"/>
  <c r="D2339" i="15"/>
  <c r="D2340" i="15"/>
  <c r="D2341" i="15"/>
  <c r="D2342" i="15"/>
  <c r="D2343" i="15"/>
  <c r="D2344" i="15"/>
  <c r="D2345" i="15"/>
  <c r="D2346" i="15"/>
  <c r="D2347" i="15"/>
  <c r="D2348" i="15"/>
  <c r="D2349" i="15"/>
  <c r="D2350" i="15"/>
  <c r="D2351" i="15"/>
  <c r="D2352" i="15"/>
  <c r="D2353" i="15"/>
  <c r="D2354" i="15"/>
  <c r="D2355" i="15"/>
  <c r="D2356" i="15"/>
  <c r="D2357" i="15"/>
  <c r="D2358" i="15"/>
  <c r="D2359" i="15"/>
  <c r="D2360" i="15"/>
  <c r="D2361" i="15"/>
  <c r="D2362" i="15"/>
  <c r="D2363" i="15"/>
  <c r="D2364" i="15"/>
  <c r="D2365" i="15"/>
  <c r="D2366" i="15"/>
  <c r="D2367" i="15"/>
  <c r="D2368" i="15"/>
  <c r="D2369" i="15"/>
  <c r="D2370" i="15"/>
  <c r="D2371" i="15"/>
  <c r="D2372" i="15"/>
  <c r="D2373" i="15"/>
  <c r="D2374" i="15"/>
  <c r="D2375" i="15"/>
  <c r="D2376" i="15"/>
  <c r="D2377" i="15"/>
  <c r="D2378" i="15"/>
  <c r="D2379" i="15"/>
  <c r="D2380" i="15"/>
  <c r="D2381" i="15"/>
  <c r="D2382" i="15"/>
  <c r="D2383" i="15"/>
  <c r="D2384" i="15"/>
  <c r="D2385" i="15"/>
  <c r="D2386" i="15"/>
  <c r="D2387" i="15"/>
  <c r="D2388" i="15"/>
  <c r="D2389" i="15"/>
  <c r="D2390" i="15"/>
  <c r="D2391" i="15"/>
  <c r="D2392" i="15"/>
  <c r="D2393" i="15"/>
  <c r="D2394" i="15"/>
  <c r="D2395" i="15"/>
  <c r="D2396" i="15"/>
  <c r="D2397" i="15"/>
  <c r="D2398" i="15"/>
  <c r="D2399" i="15"/>
  <c r="D2400" i="15"/>
  <c r="D2401" i="15"/>
  <c r="D2402" i="15"/>
  <c r="D2403" i="15"/>
  <c r="D2404" i="15"/>
  <c r="D2405" i="15"/>
  <c r="D2406" i="15"/>
  <c r="D2407" i="15"/>
  <c r="D2408" i="15"/>
  <c r="D2409" i="15"/>
  <c r="D2410" i="15"/>
  <c r="D2411" i="15"/>
  <c r="D2412" i="15"/>
  <c r="D2413" i="15"/>
  <c r="D2414" i="15"/>
  <c r="D2415" i="15"/>
  <c r="D2416" i="15"/>
  <c r="D2417" i="15"/>
  <c r="D2418" i="15"/>
  <c r="D2419" i="15"/>
  <c r="D2420" i="15"/>
  <c r="D2421" i="15"/>
  <c r="D2422" i="15"/>
  <c r="D2423" i="15"/>
  <c r="D2424" i="15"/>
  <c r="D2425" i="15"/>
  <c r="D2426" i="15"/>
  <c r="D2427" i="15"/>
  <c r="D2428" i="15"/>
  <c r="D2429" i="15"/>
  <c r="D2430" i="15"/>
  <c r="D2431" i="15"/>
  <c r="D2432" i="15"/>
  <c r="D2433" i="15"/>
  <c r="D2434" i="15"/>
  <c r="D2435" i="15"/>
  <c r="D2436" i="15"/>
  <c r="D2437" i="15"/>
  <c r="D2438" i="15"/>
  <c r="D2439" i="15"/>
  <c r="D2440" i="15"/>
  <c r="D2441" i="15"/>
  <c r="D2442" i="15"/>
  <c r="D2443" i="15"/>
  <c r="D2444" i="15"/>
  <c r="D2445" i="15"/>
  <c r="D2446" i="15"/>
  <c r="D2447" i="15"/>
  <c r="D2448" i="15"/>
  <c r="D2449" i="15"/>
  <c r="D2450" i="15"/>
  <c r="D2451" i="15"/>
  <c r="D2452" i="15"/>
  <c r="D2453" i="15"/>
  <c r="D2454" i="15"/>
  <c r="D2455" i="15"/>
  <c r="D2456" i="15"/>
  <c r="D2457" i="15"/>
  <c r="D2458" i="15"/>
  <c r="D2459" i="15"/>
  <c r="D2460" i="15"/>
  <c r="D2461" i="15"/>
  <c r="D2462" i="15"/>
  <c r="D2463" i="15"/>
  <c r="D2464" i="15"/>
  <c r="D2465" i="15"/>
  <c r="D2466" i="15"/>
  <c r="D2467" i="15"/>
  <c r="D2468" i="15"/>
  <c r="D2469" i="15"/>
  <c r="D2470" i="15"/>
  <c r="D2471" i="15"/>
  <c r="D2472" i="15"/>
  <c r="D2473" i="15"/>
  <c r="D2474" i="15"/>
  <c r="D2475" i="15"/>
  <c r="D2476" i="15"/>
  <c r="D2477" i="15"/>
  <c r="D2478" i="15"/>
  <c r="D2479" i="15"/>
  <c r="D2480" i="15"/>
  <c r="D2481" i="15"/>
  <c r="D2482" i="15"/>
  <c r="D2483" i="15"/>
  <c r="D2484" i="15"/>
  <c r="D2485" i="15"/>
  <c r="D2486" i="15"/>
  <c r="D2487" i="15"/>
  <c r="D2488" i="15"/>
  <c r="D2489" i="15"/>
  <c r="D2490" i="15"/>
  <c r="D2491" i="15"/>
  <c r="D2492" i="15"/>
  <c r="D2493" i="15"/>
  <c r="D2494" i="15"/>
  <c r="D2495" i="15"/>
  <c r="D2496" i="15"/>
  <c r="D2497" i="15"/>
  <c r="D2498" i="15"/>
  <c r="D2499" i="15"/>
  <c r="D2500" i="15"/>
  <c r="D2501" i="15"/>
  <c r="D2502" i="15"/>
  <c r="D2503" i="15"/>
  <c r="D2504" i="15"/>
  <c r="D2505" i="15"/>
  <c r="D2506" i="15"/>
  <c r="D2507" i="15"/>
  <c r="D2508" i="15"/>
  <c r="D2509" i="15"/>
  <c r="D2510" i="15"/>
  <c r="D2511" i="15"/>
  <c r="D2512" i="15"/>
  <c r="D2513" i="15"/>
  <c r="D2514" i="15"/>
  <c r="D2515" i="15"/>
  <c r="D2516" i="15"/>
  <c r="D2517" i="15"/>
  <c r="D2518" i="15"/>
  <c r="D2519" i="15"/>
  <c r="D2520" i="15"/>
  <c r="D2521" i="15"/>
  <c r="D2522" i="15"/>
  <c r="D2523" i="15"/>
  <c r="D2524" i="15"/>
  <c r="D2525" i="15"/>
  <c r="D2526" i="15"/>
  <c r="D2527" i="15"/>
  <c r="D2528" i="15"/>
  <c r="D2529" i="15"/>
  <c r="D2530" i="15"/>
  <c r="D2531" i="15"/>
  <c r="D2532" i="15"/>
  <c r="D2533" i="15"/>
  <c r="D2534" i="15"/>
  <c r="D2535" i="15"/>
  <c r="D2536" i="15"/>
  <c r="D2537" i="15"/>
  <c r="D2538" i="15"/>
  <c r="D2539" i="15"/>
  <c r="D2540" i="15"/>
  <c r="D2541" i="15"/>
  <c r="D2542" i="15"/>
  <c r="D2543" i="15"/>
  <c r="D2544" i="15"/>
  <c r="D2545" i="15"/>
  <c r="D2546" i="15"/>
  <c r="D2547" i="15"/>
  <c r="D2548" i="15"/>
  <c r="D2549" i="15"/>
  <c r="D2550" i="15"/>
  <c r="D2551" i="15"/>
  <c r="D2552" i="15"/>
  <c r="D2553" i="15"/>
  <c r="D2554" i="15"/>
  <c r="D2555" i="15"/>
  <c r="D2556" i="15"/>
  <c r="D2557" i="15"/>
  <c r="D2558" i="15"/>
  <c r="D2559" i="15"/>
  <c r="D2560" i="15"/>
  <c r="D2561" i="15"/>
  <c r="D2562" i="15"/>
  <c r="D2563" i="15"/>
  <c r="D2564" i="15"/>
  <c r="D2565" i="15"/>
  <c r="D2566" i="15"/>
  <c r="D2567" i="15"/>
  <c r="D2568" i="15"/>
  <c r="D2569" i="15"/>
  <c r="D2570" i="15"/>
  <c r="D2571" i="15"/>
  <c r="D2572" i="15"/>
  <c r="D2573" i="15"/>
  <c r="D2574" i="15"/>
  <c r="D2575" i="15"/>
  <c r="D2576" i="15"/>
  <c r="D2577" i="15"/>
  <c r="D2578" i="15"/>
  <c r="D2579" i="15"/>
  <c r="D2580" i="15"/>
  <c r="D2581" i="15"/>
  <c r="D2582" i="15"/>
  <c r="D2583" i="15"/>
  <c r="D2584" i="15"/>
  <c r="D2585" i="15"/>
  <c r="D2586" i="15"/>
  <c r="D2587" i="15"/>
  <c r="D2588" i="15"/>
  <c r="D2589" i="15"/>
  <c r="D2590" i="15"/>
  <c r="D2591" i="15"/>
  <c r="D2592" i="15"/>
  <c r="D2593" i="15"/>
  <c r="D2594" i="15"/>
  <c r="D2595" i="15"/>
  <c r="D2596" i="15"/>
  <c r="D2597" i="15"/>
  <c r="D2598" i="15"/>
  <c r="D2599" i="15"/>
  <c r="D2600" i="15"/>
  <c r="D2601" i="15"/>
  <c r="D2602" i="15"/>
  <c r="D2603" i="15"/>
  <c r="D2604" i="15"/>
  <c r="D2605" i="15"/>
  <c r="D2606" i="15"/>
  <c r="D2607" i="15"/>
  <c r="D2608" i="15"/>
  <c r="D2609" i="15"/>
  <c r="D2610" i="15"/>
  <c r="D2611" i="15"/>
  <c r="D2612" i="15"/>
  <c r="D2613" i="15"/>
  <c r="D2614" i="15"/>
  <c r="D2615" i="15"/>
  <c r="D2616" i="15"/>
  <c r="D2617" i="15"/>
  <c r="D2618" i="15"/>
  <c r="D2619" i="15"/>
  <c r="D2620" i="15"/>
  <c r="D2621" i="15"/>
  <c r="D2622" i="15"/>
  <c r="D2623" i="15"/>
  <c r="D2624" i="15"/>
  <c r="D2625" i="15"/>
  <c r="D2626" i="15"/>
  <c r="D2627" i="15"/>
  <c r="D2628" i="15"/>
  <c r="D2629" i="15"/>
  <c r="D2630" i="15"/>
  <c r="D2631" i="15"/>
  <c r="D2632" i="15"/>
  <c r="D2633" i="15"/>
  <c r="D2634" i="15"/>
  <c r="D2635" i="15"/>
  <c r="D2636" i="15"/>
  <c r="D2637" i="15"/>
  <c r="D2638" i="15"/>
  <c r="D2639" i="15"/>
  <c r="D2640" i="15"/>
  <c r="D2641" i="15"/>
  <c r="D2642" i="15"/>
  <c r="D2643" i="15"/>
  <c r="D2644" i="15"/>
  <c r="D2645" i="15"/>
  <c r="D2646" i="15"/>
  <c r="D2647" i="15"/>
  <c r="D2648" i="15"/>
  <c r="D2649" i="15"/>
  <c r="D2650" i="15"/>
  <c r="D2651" i="15"/>
  <c r="D2652" i="15"/>
  <c r="D2653" i="15"/>
  <c r="D2654" i="15"/>
  <c r="D2655" i="15"/>
  <c r="D2656" i="15"/>
  <c r="D2657" i="15"/>
  <c r="D2658" i="15"/>
  <c r="D2659" i="15"/>
  <c r="D2660" i="15"/>
  <c r="D2661" i="15"/>
  <c r="D2662" i="15"/>
  <c r="D2663" i="15"/>
  <c r="D2664" i="15"/>
  <c r="D2665" i="15"/>
  <c r="D2666" i="15"/>
  <c r="D2667" i="15"/>
  <c r="D2668" i="15"/>
  <c r="D2669" i="15"/>
  <c r="D2670" i="15"/>
  <c r="D2671" i="15"/>
  <c r="D2672" i="15"/>
  <c r="D2673" i="15"/>
  <c r="D2674" i="15"/>
  <c r="D2675" i="15"/>
  <c r="D2676" i="15"/>
  <c r="D2677" i="15"/>
  <c r="D2678" i="15"/>
  <c r="D2679" i="15"/>
  <c r="D2680" i="15"/>
  <c r="D2681" i="15"/>
  <c r="D2682" i="15"/>
  <c r="D2683" i="15"/>
  <c r="D2684" i="15"/>
  <c r="D2685" i="15"/>
  <c r="D2686" i="15"/>
  <c r="D2687" i="15"/>
  <c r="D2688" i="15"/>
  <c r="D2689" i="15"/>
  <c r="D2690" i="15"/>
  <c r="D2691" i="15"/>
  <c r="D2692" i="15"/>
  <c r="D2693" i="15"/>
  <c r="D2694" i="15"/>
  <c r="D2695" i="15"/>
  <c r="D2696" i="15"/>
  <c r="D2697" i="15"/>
  <c r="D2698" i="15"/>
  <c r="D2699" i="15"/>
  <c r="D2700" i="15"/>
  <c r="D2701" i="15"/>
  <c r="D2702" i="15"/>
  <c r="D2703" i="15"/>
  <c r="D2704" i="15"/>
  <c r="D2705" i="15"/>
  <c r="D2706" i="15"/>
  <c r="D2707" i="15"/>
  <c r="D2708" i="15"/>
  <c r="D2709" i="15"/>
  <c r="D2710" i="15"/>
  <c r="D2711" i="15"/>
  <c r="D2712" i="15"/>
  <c r="D2713" i="15"/>
  <c r="D2714" i="15"/>
  <c r="D2715" i="15"/>
  <c r="D2716" i="15"/>
  <c r="D2717" i="15"/>
  <c r="D2718" i="15"/>
  <c r="D2719" i="15"/>
  <c r="D2720" i="15"/>
  <c r="D2721" i="15"/>
  <c r="D2722" i="15"/>
  <c r="D2723" i="15"/>
  <c r="D2724" i="15"/>
  <c r="D2725" i="15"/>
  <c r="D2726" i="15"/>
  <c r="D2727" i="15"/>
  <c r="D2728" i="15"/>
  <c r="D2729" i="15"/>
  <c r="D2730" i="15"/>
  <c r="D2731" i="15"/>
  <c r="D2732" i="15"/>
  <c r="D2733" i="15"/>
  <c r="D2734" i="15"/>
  <c r="D2735" i="15"/>
  <c r="D2736" i="15"/>
  <c r="D2737" i="15"/>
  <c r="D2738" i="15"/>
  <c r="D2739" i="15"/>
  <c r="D2740" i="15"/>
  <c r="D2741" i="15"/>
  <c r="D2742" i="15"/>
  <c r="D2743" i="15"/>
  <c r="D2744" i="15"/>
  <c r="D2745" i="15"/>
  <c r="D2746" i="15"/>
  <c r="D2747" i="15"/>
  <c r="D2748" i="15"/>
  <c r="D2749" i="15"/>
  <c r="D2750" i="15"/>
  <c r="D2751" i="15"/>
  <c r="D2752" i="15"/>
  <c r="D2753" i="15"/>
  <c r="D2754" i="15"/>
  <c r="D2755" i="15"/>
  <c r="D2756" i="15"/>
  <c r="D2757" i="15"/>
  <c r="D2758" i="15"/>
  <c r="D2759" i="15"/>
  <c r="D2760" i="15"/>
  <c r="D2761" i="15"/>
  <c r="D2762" i="15"/>
  <c r="D2763" i="15"/>
  <c r="D2764" i="15"/>
  <c r="D2765" i="15"/>
  <c r="D2766" i="15"/>
  <c r="D2767" i="15"/>
  <c r="D2768" i="15"/>
  <c r="D2769" i="15"/>
  <c r="D2770" i="15"/>
  <c r="D2771" i="15"/>
  <c r="D2772" i="15"/>
  <c r="D2773" i="15"/>
  <c r="D2774" i="15"/>
  <c r="D2775" i="15"/>
  <c r="D2776" i="15"/>
  <c r="D2777" i="15"/>
  <c r="D2778" i="15"/>
  <c r="D2779" i="15"/>
  <c r="D2780" i="15"/>
  <c r="D2781" i="15"/>
  <c r="D2782" i="15"/>
  <c r="D2783" i="15"/>
  <c r="D2784" i="15"/>
  <c r="D2785" i="15"/>
  <c r="D2786" i="15"/>
  <c r="D2787" i="15"/>
  <c r="D2788" i="15"/>
  <c r="D2789" i="15"/>
  <c r="D2790" i="15"/>
  <c r="D2791" i="15"/>
  <c r="D2792" i="15"/>
  <c r="D2793" i="15"/>
  <c r="D2794" i="15"/>
  <c r="D2795" i="15"/>
  <c r="D2796" i="15"/>
  <c r="D2797" i="15"/>
  <c r="D2798" i="15"/>
  <c r="D2799" i="15"/>
  <c r="D2800" i="15"/>
  <c r="D2801" i="15"/>
  <c r="D2802" i="15"/>
  <c r="D2803" i="15"/>
  <c r="D2804" i="15"/>
  <c r="D2805" i="15"/>
  <c r="D2806" i="15"/>
  <c r="D2807" i="15"/>
  <c r="D2808" i="15"/>
  <c r="D2809" i="15"/>
  <c r="D2810" i="15"/>
  <c r="D2811" i="15"/>
  <c r="D2812" i="15"/>
  <c r="D2813" i="15"/>
  <c r="D2814" i="15"/>
  <c r="D2815" i="15"/>
  <c r="D2816" i="15"/>
  <c r="D2817" i="15"/>
  <c r="D2818" i="15"/>
  <c r="D2819" i="15"/>
  <c r="D2820" i="15"/>
  <c r="D2821" i="15"/>
  <c r="D2822" i="15"/>
  <c r="D2823" i="15"/>
  <c r="D2824" i="15"/>
  <c r="D2825" i="15"/>
  <c r="D2826" i="15"/>
  <c r="D2827" i="15"/>
  <c r="D2828" i="15"/>
  <c r="D2829" i="15"/>
  <c r="D2830" i="15"/>
  <c r="D2831" i="15"/>
  <c r="D2832" i="15"/>
  <c r="D2833" i="15"/>
  <c r="D2834" i="15"/>
  <c r="D2835" i="15"/>
  <c r="D2836" i="15"/>
  <c r="D2837" i="15"/>
  <c r="D2838" i="15"/>
  <c r="D2839" i="15"/>
  <c r="D2840" i="15"/>
  <c r="D2841" i="15"/>
  <c r="D2842" i="15"/>
  <c r="D2843" i="15"/>
  <c r="D2844" i="15"/>
  <c r="D2845" i="15"/>
  <c r="D2846" i="15"/>
  <c r="D2847" i="15"/>
  <c r="D2848" i="15"/>
  <c r="D2849" i="15"/>
  <c r="D2850" i="15"/>
  <c r="D2851" i="15"/>
  <c r="D2852" i="15"/>
  <c r="D2853" i="15"/>
  <c r="D2854" i="15"/>
  <c r="D2855" i="15"/>
  <c r="D2856" i="15"/>
  <c r="D2857" i="15"/>
  <c r="D2858" i="15"/>
  <c r="D2859" i="15"/>
  <c r="D2860" i="15"/>
  <c r="D2861" i="15"/>
  <c r="D2862" i="15"/>
  <c r="D2863" i="15"/>
  <c r="D2864" i="15"/>
  <c r="D2865" i="15"/>
  <c r="D2866" i="15"/>
  <c r="D2867" i="15"/>
  <c r="D2868" i="15"/>
  <c r="D2869" i="15"/>
  <c r="D2870" i="15"/>
  <c r="D2871" i="15"/>
  <c r="D2872" i="15"/>
  <c r="D2873" i="15"/>
  <c r="D2874" i="15"/>
  <c r="D2875" i="15"/>
  <c r="D2876" i="15"/>
  <c r="D2877" i="15"/>
  <c r="D2878" i="15"/>
  <c r="D2879" i="15"/>
  <c r="D2880" i="15"/>
  <c r="D2881" i="15"/>
  <c r="D2882" i="15"/>
  <c r="D2883" i="15"/>
  <c r="D2884" i="15"/>
  <c r="D2885" i="15"/>
  <c r="D2886" i="15"/>
  <c r="D2887" i="15"/>
  <c r="D2888" i="15"/>
  <c r="D2889" i="15"/>
  <c r="D2890" i="15"/>
  <c r="D2891" i="15"/>
  <c r="D2892" i="15"/>
  <c r="D2893" i="15"/>
  <c r="D2894" i="15"/>
  <c r="D2895" i="15"/>
  <c r="D2896" i="15"/>
  <c r="D2897" i="15"/>
  <c r="D2898" i="15"/>
  <c r="D2899" i="15"/>
  <c r="D2900" i="15"/>
  <c r="D2901" i="15"/>
  <c r="D2902" i="15"/>
  <c r="D2903" i="15"/>
  <c r="D2904" i="15"/>
  <c r="D2905" i="15"/>
  <c r="D2906" i="15"/>
  <c r="D2907" i="15"/>
  <c r="D2908" i="15"/>
  <c r="D2909" i="15"/>
  <c r="D2910" i="15"/>
  <c r="D2911" i="15"/>
  <c r="D2912" i="15"/>
  <c r="D2913" i="15"/>
  <c r="D2914" i="15"/>
  <c r="D2915" i="15"/>
  <c r="D2916" i="15"/>
  <c r="D2917" i="15"/>
  <c r="D2918" i="15"/>
  <c r="D2919" i="15"/>
  <c r="D2920" i="15"/>
  <c r="D2921" i="15"/>
  <c r="D2922" i="15"/>
  <c r="D2923" i="15"/>
  <c r="D2924" i="15"/>
  <c r="D2925" i="15"/>
  <c r="D2926" i="15"/>
  <c r="D2927" i="15"/>
  <c r="D2928" i="15"/>
  <c r="D2929" i="15"/>
  <c r="D2930" i="15"/>
  <c r="D2931" i="15"/>
  <c r="D2932" i="15"/>
  <c r="D2933" i="15"/>
  <c r="D2934" i="15"/>
  <c r="D2935" i="15"/>
  <c r="D2936" i="15"/>
  <c r="D2937" i="15"/>
  <c r="D2938" i="15"/>
  <c r="D2939" i="15"/>
  <c r="D2940" i="15"/>
  <c r="D2941" i="15"/>
  <c r="D2942" i="15"/>
  <c r="D2943" i="15"/>
  <c r="D2944" i="15"/>
  <c r="D2945" i="15"/>
  <c r="D2946" i="15"/>
  <c r="D2947" i="15"/>
  <c r="D2948" i="15"/>
  <c r="D2949" i="15"/>
  <c r="D2950" i="15"/>
  <c r="D2951" i="15"/>
  <c r="D2952" i="15"/>
  <c r="D2953" i="15"/>
  <c r="D2954" i="15"/>
  <c r="D2955" i="15"/>
  <c r="D2956" i="15"/>
  <c r="D2957" i="15"/>
  <c r="D2958" i="15"/>
  <c r="D2959" i="15"/>
  <c r="D2960" i="15"/>
  <c r="D2961" i="15"/>
  <c r="D2962" i="15"/>
  <c r="D2963" i="15"/>
  <c r="D2964" i="15"/>
  <c r="D2965" i="15"/>
  <c r="D2966" i="15"/>
  <c r="D2967" i="15"/>
  <c r="D2968" i="15"/>
  <c r="D2969" i="15"/>
  <c r="D2970" i="15"/>
  <c r="D2971" i="15"/>
  <c r="D2972" i="15"/>
  <c r="D2973" i="15"/>
  <c r="D2974" i="15"/>
  <c r="D2975" i="15"/>
  <c r="D2976" i="15"/>
  <c r="D2977" i="15"/>
  <c r="D2978" i="15"/>
  <c r="D2979" i="15"/>
  <c r="D2980" i="15"/>
  <c r="D2981" i="15"/>
  <c r="D2982" i="15"/>
  <c r="D2983" i="15"/>
  <c r="D2984" i="15"/>
  <c r="D2985" i="15"/>
  <c r="D2986" i="15"/>
  <c r="D2987" i="15"/>
  <c r="D2988" i="15"/>
  <c r="D2989" i="15"/>
  <c r="D2990" i="15"/>
  <c r="D2991" i="15"/>
  <c r="D2992" i="15"/>
  <c r="D2993" i="15"/>
  <c r="D2994" i="15"/>
  <c r="D2995" i="15"/>
  <c r="D2996" i="15"/>
  <c r="D2997" i="15"/>
  <c r="D2998" i="15"/>
  <c r="D2999" i="15"/>
  <c r="D3000" i="15"/>
  <c r="D3001" i="15"/>
  <c r="D3002" i="15"/>
  <c r="D3003" i="15"/>
  <c r="D3004" i="15"/>
  <c r="D3005" i="15"/>
  <c r="D3006" i="15"/>
  <c r="D3007" i="15"/>
  <c r="D3008" i="15"/>
  <c r="D3009" i="15"/>
  <c r="D3010" i="15"/>
  <c r="D3011" i="15"/>
  <c r="D3012" i="15"/>
  <c r="D3013" i="15"/>
  <c r="D3014" i="15"/>
  <c r="D3015" i="15"/>
  <c r="D3016" i="15"/>
  <c r="D3017" i="15"/>
  <c r="D3018" i="15"/>
  <c r="D3019" i="15"/>
  <c r="D3020" i="15"/>
  <c r="D3021" i="15"/>
  <c r="D3022" i="15"/>
  <c r="D3023" i="15"/>
  <c r="D3024" i="15"/>
  <c r="D3025" i="15"/>
  <c r="D3026" i="15"/>
  <c r="D3027" i="15"/>
  <c r="D3028" i="15"/>
  <c r="D3029" i="15"/>
  <c r="D3030" i="15"/>
  <c r="D3031" i="15"/>
  <c r="D3032" i="15"/>
  <c r="D3033" i="15"/>
  <c r="D3034" i="15"/>
  <c r="D3035" i="15"/>
  <c r="D3036" i="15"/>
  <c r="D3037" i="15"/>
  <c r="D3038" i="15"/>
  <c r="D3039" i="15"/>
  <c r="D3040" i="15"/>
  <c r="D3041" i="15"/>
  <c r="D3042" i="15"/>
  <c r="D3043" i="15"/>
  <c r="D3044" i="15"/>
  <c r="D3045" i="15"/>
  <c r="D3046" i="15"/>
  <c r="D3047" i="15"/>
  <c r="D3048" i="15"/>
  <c r="D3049" i="15"/>
  <c r="D3050" i="15"/>
  <c r="D3051" i="15"/>
  <c r="D3052" i="15"/>
  <c r="D3053" i="15"/>
  <c r="D3054" i="15"/>
  <c r="D3055" i="15"/>
  <c r="D3056" i="15"/>
  <c r="D3057" i="15"/>
  <c r="D3058" i="15"/>
  <c r="D3059" i="15"/>
  <c r="D3060" i="15"/>
  <c r="D3061" i="15"/>
  <c r="D3062" i="15"/>
  <c r="D3063" i="15"/>
  <c r="D3064" i="15"/>
  <c r="D3065" i="15"/>
  <c r="D3066" i="15"/>
  <c r="D3067" i="15"/>
  <c r="D3068" i="15"/>
  <c r="D3069" i="15"/>
  <c r="D3070" i="15"/>
  <c r="D3071" i="15"/>
  <c r="D3072" i="15"/>
  <c r="D3073" i="15"/>
  <c r="D3074" i="15"/>
  <c r="D3075" i="15"/>
  <c r="D3076" i="15"/>
  <c r="D3077" i="15"/>
  <c r="D3078" i="15"/>
  <c r="D3079" i="15"/>
  <c r="D3080" i="15"/>
  <c r="D3081" i="15"/>
  <c r="D3082" i="15"/>
  <c r="D3083" i="15"/>
  <c r="D3084" i="15"/>
  <c r="D3085" i="15"/>
  <c r="D3086" i="15"/>
  <c r="D3087" i="15"/>
  <c r="D3088" i="15"/>
  <c r="D3089" i="15"/>
  <c r="D3090" i="15"/>
  <c r="D3091" i="15"/>
  <c r="D3092" i="15"/>
  <c r="D3093" i="15"/>
  <c r="D3094" i="15"/>
  <c r="D3095" i="15"/>
  <c r="D3096" i="15"/>
  <c r="D3097" i="15"/>
  <c r="D3098" i="15"/>
  <c r="D3099" i="15"/>
  <c r="D3100" i="15"/>
  <c r="D3101" i="15"/>
  <c r="D3102" i="15"/>
  <c r="D3103" i="15"/>
  <c r="D3104" i="15"/>
  <c r="D3105" i="15"/>
  <c r="D3106" i="15"/>
  <c r="D3107" i="15"/>
  <c r="D3108" i="15"/>
  <c r="D3109" i="15"/>
  <c r="D3110" i="15"/>
  <c r="D3111" i="15"/>
  <c r="D3112" i="15"/>
  <c r="D3113" i="15"/>
  <c r="D3114" i="15"/>
  <c r="D3115" i="15"/>
  <c r="D3116" i="15"/>
  <c r="D3117" i="15"/>
  <c r="D3118" i="15"/>
  <c r="D3119" i="15"/>
  <c r="D3120" i="15"/>
  <c r="D3121" i="15"/>
  <c r="D3122" i="15"/>
  <c r="D3123" i="15"/>
  <c r="D3124" i="15"/>
  <c r="D3125" i="15"/>
  <c r="D3126" i="15"/>
  <c r="D3127" i="15"/>
  <c r="D3128" i="15"/>
  <c r="D3129" i="15"/>
  <c r="D3130" i="15"/>
  <c r="D3131" i="15"/>
  <c r="D3132" i="15"/>
  <c r="D3133" i="15"/>
  <c r="D3134" i="15"/>
  <c r="D3135" i="15"/>
  <c r="D3136" i="15"/>
  <c r="D3137" i="15"/>
  <c r="D3138" i="15"/>
  <c r="D3139" i="15"/>
  <c r="D3140" i="15"/>
  <c r="D3141" i="15"/>
  <c r="D3142" i="15"/>
  <c r="D3143" i="15"/>
  <c r="D3144" i="15"/>
  <c r="D3145" i="15"/>
  <c r="D3146" i="15"/>
  <c r="D3147" i="15"/>
  <c r="D3148" i="15"/>
  <c r="D3149" i="15"/>
  <c r="D3150" i="15"/>
  <c r="D3151" i="15"/>
  <c r="D3152" i="15"/>
  <c r="D3153" i="15"/>
  <c r="D3154" i="15"/>
  <c r="D3155" i="15"/>
  <c r="D3156" i="15"/>
  <c r="D3157" i="15"/>
  <c r="D3158" i="15"/>
  <c r="D3159" i="15"/>
  <c r="D3160" i="15"/>
  <c r="D3161" i="15"/>
  <c r="D3162" i="15"/>
  <c r="D3163" i="15"/>
  <c r="D3164" i="15"/>
  <c r="D3165" i="15"/>
  <c r="D3166" i="15"/>
  <c r="D3167" i="15"/>
  <c r="D3168" i="15"/>
  <c r="D3169" i="15"/>
  <c r="D3170" i="15"/>
  <c r="D3171" i="15"/>
  <c r="D3172" i="15"/>
  <c r="D3173" i="15"/>
  <c r="D3174" i="15"/>
  <c r="D3175" i="15"/>
  <c r="D3176" i="15"/>
  <c r="D3177" i="15"/>
  <c r="D3178" i="15"/>
  <c r="D3179" i="15"/>
  <c r="D3180" i="15"/>
  <c r="D3181" i="15"/>
  <c r="D3182" i="15"/>
  <c r="D3183" i="15"/>
  <c r="D3184" i="15"/>
  <c r="D3185" i="15"/>
  <c r="D3186" i="15"/>
  <c r="D3187" i="15"/>
  <c r="D3188" i="15"/>
  <c r="D3189" i="15"/>
  <c r="D3190" i="15"/>
  <c r="D3191" i="15"/>
  <c r="D3192" i="15"/>
  <c r="D3193" i="15"/>
  <c r="D3194" i="15"/>
  <c r="D3195" i="15"/>
  <c r="D3196" i="15"/>
  <c r="D3197" i="15"/>
  <c r="D3198" i="15"/>
  <c r="D3199" i="15"/>
  <c r="D3200" i="15"/>
  <c r="D3201" i="15"/>
  <c r="D3202" i="15"/>
  <c r="D3203" i="15"/>
  <c r="D3204" i="15"/>
  <c r="D3205" i="15"/>
  <c r="D3206" i="15"/>
  <c r="D3207" i="15"/>
  <c r="D3208" i="15"/>
  <c r="D3209" i="15"/>
  <c r="D3210" i="15"/>
  <c r="D3211" i="15"/>
  <c r="D3212" i="15"/>
  <c r="D3213" i="15"/>
  <c r="D3214" i="15"/>
  <c r="D3215" i="15"/>
  <c r="D3216" i="15"/>
  <c r="D3217" i="15"/>
  <c r="D3218" i="15"/>
  <c r="D3219" i="15"/>
  <c r="D3220" i="15"/>
  <c r="D3221" i="15"/>
  <c r="D3222" i="15"/>
  <c r="D3223" i="15"/>
  <c r="D3224" i="15"/>
  <c r="D3225" i="15"/>
  <c r="D3226" i="15"/>
  <c r="D3227" i="15"/>
  <c r="D3228" i="15"/>
  <c r="D3229" i="15"/>
  <c r="D3230" i="15"/>
  <c r="D3231" i="15"/>
  <c r="D3232" i="15"/>
  <c r="D3233" i="15"/>
  <c r="D3234" i="15"/>
  <c r="D3235" i="15"/>
  <c r="D3236" i="15"/>
  <c r="D3237" i="15"/>
  <c r="D3238" i="15"/>
  <c r="D3239" i="15"/>
  <c r="D3240" i="15"/>
  <c r="D3241" i="15"/>
  <c r="D3242" i="15"/>
  <c r="D3243" i="15"/>
  <c r="D3244" i="15"/>
  <c r="D3245" i="15"/>
  <c r="D3246" i="15"/>
  <c r="D3247" i="15"/>
  <c r="D3248" i="15"/>
  <c r="D3249" i="15"/>
  <c r="D3250" i="15"/>
  <c r="D3251" i="15"/>
  <c r="D3252" i="15"/>
  <c r="D3253" i="15"/>
  <c r="D3254" i="15"/>
  <c r="D3255" i="15"/>
  <c r="D3256" i="15"/>
  <c r="D3257" i="15"/>
  <c r="D3258" i="15"/>
  <c r="D3259" i="15"/>
  <c r="D3260" i="15"/>
  <c r="D3261" i="15"/>
  <c r="D3262" i="15"/>
  <c r="D3263" i="15"/>
  <c r="D3264" i="15"/>
  <c r="D3265" i="15"/>
  <c r="D3266" i="15"/>
  <c r="D3267" i="15"/>
  <c r="D3268" i="15"/>
  <c r="D3269" i="15"/>
  <c r="D3270" i="15"/>
  <c r="D3271" i="15"/>
  <c r="D3272" i="15"/>
  <c r="D3273" i="15"/>
  <c r="D3274" i="15"/>
  <c r="D3275" i="15"/>
  <c r="D3276" i="15"/>
  <c r="D3277" i="15"/>
  <c r="D3278" i="15"/>
  <c r="D3279" i="15"/>
  <c r="D3280" i="15"/>
  <c r="D3281" i="15"/>
  <c r="D3282" i="15"/>
  <c r="D3283" i="15"/>
  <c r="D3284" i="15"/>
  <c r="D3285" i="15"/>
  <c r="D3286" i="15"/>
  <c r="D3287" i="15"/>
  <c r="D3288" i="15"/>
  <c r="D3289" i="15"/>
  <c r="D3290" i="15"/>
  <c r="D3291" i="15"/>
  <c r="D3292" i="15"/>
  <c r="D3293" i="15"/>
  <c r="D3294" i="15"/>
  <c r="D3295" i="15"/>
  <c r="D3296" i="15"/>
  <c r="D3297" i="15"/>
  <c r="D3298" i="15"/>
  <c r="D3299" i="15"/>
  <c r="D3300" i="15"/>
  <c r="D3301" i="15"/>
  <c r="D3302" i="15"/>
  <c r="D3303" i="15"/>
  <c r="D3304" i="15"/>
  <c r="D3305" i="15"/>
  <c r="D3306" i="15"/>
  <c r="D3307" i="15"/>
  <c r="D3308" i="15"/>
  <c r="D3309" i="15"/>
  <c r="D3310" i="15"/>
  <c r="D3311" i="15"/>
  <c r="D3312" i="15"/>
  <c r="D3313" i="15"/>
  <c r="D3314" i="15"/>
  <c r="D3315" i="15"/>
  <c r="D3316" i="15"/>
  <c r="D3317" i="15"/>
  <c r="D3318" i="15"/>
  <c r="D3319" i="15"/>
  <c r="D3320" i="15"/>
  <c r="D3321" i="15"/>
  <c r="D3322" i="15"/>
  <c r="D3323" i="15"/>
  <c r="D3324" i="15"/>
  <c r="D3325" i="15"/>
  <c r="D3326" i="15"/>
  <c r="D3327" i="15"/>
  <c r="D3328" i="15"/>
  <c r="D3329" i="15"/>
  <c r="D3330" i="15"/>
  <c r="D3331" i="15"/>
  <c r="D3332" i="15"/>
  <c r="D3333" i="15"/>
  <c r="D3334" i="15"/>
  <c r="D3335" i="15"/>
  <c r="D3336" i="15"/>
  <c r="D3337" i="15"/>
  <c r="D3338" i="15"/>
  <c r="D3339" i="15"/>
  <c r="D3340" i="15"/>
  <c r="D3341" i="15"/>
  <c r="D3342" i="15"/>
  <c r="D3343" i="15"/>
  <c r="D3344" i="15"/>
  <c r="D3345" i="15"/>
  <c r="D3346" i="15"/>
  <c r="D3347" i="15"/>
  <c r="D3348" i="15"/>
  <c r="D3349" i="15"/>
  <c r="D3350" i="15"/>
  <c r="D3351" i="15"/>
  <c r="D3352" i="15"/>
  <c r="D3353" i="15"/>
  <c r="D3354" i="15"/>
  <c r="D3355" i="15"/>
  <c r="D3356" i="15"/>
  <c r="D3357" i="15"/>
  <c r="D3358" i="15"/>
  <c r="D3359" i="15"/>
  <c r="D3360" i="15"/>
  <c r="D3361" i="15"/>
  <c r="D3362" i="15"/>
  <c r="D3363" i="15"/>
  <c r="D3364" i="15"/>
  <c r="D3365" i="15"/>
  <c r="D3366" i="15"/>
  <c r="D3367" i="15"/>
  <c r="D3368" i="15"/>
  <c r="D3369" i="15"/>
  <c r="D3370" i="15"/>
  <c r="D3371" i="15"/>
  <c r="D3372" i="15"/>
  <c r="D3373" i="15"/>
  <c r="D3374" i="15"/>
  <c r="D3375" i="15"/>
  <c r="D3376" i="15"/>
  <c r="D3377" i="15"/>
  <c r="D3378" i="15"/>
  <c r="D3379" i="15"/>
  <c r="D3380" i="15"/>
  <c r="D3381" i="15"/>
  <c r="D3382" i="15"/>
  <c r="D3383" i="15"/>
  <c r="D3384" i="15"/>
  <c r="D3385" i="15"/>
  <c r="D3386" i="15"/>
  <c r="D3387" i="15"/>
  <c r="D3388" i="15"/>
  <c r="D3389" i="15"/>
  <c r="D3390" i="15"/>
  <c r="D3391" i="15"/>
  <c r="D3392" i="15"/>
  <c r="D3393" i="15"/>
  <c r="D3394" i="15"/>
  <c r="D3395" i="15"/>
  <c r="D3396" i="15"/>
  <c r="D3397" i="15"/>
  <c r="D3398" i="15"/>
  <c r="D3399" i="15"/>
  <c r="D3400" i="15"/>
  <c r="D3401" i="15"/>
  <c r="D3402" i="15"/>
  <c r="D3403" i="15"/>
  <c r="D3404" i="15"/>
  <c r="D3405" i="15"/>
  <c r="D3406" i="15"/>
  <c r="D3407" i="15"/>
  <c r="D3408" i="15"/>
  <c r="D3409" i="15"/>
  <c r="D3410" i="15"/>
  <c r="D3411" i="15"/>
  <c r="D3412" i="15"/>
  <c r="D3413" i="15"/>
  <c r="D3414" i="15"/>
  <c r="D3415" i="15"/>
  <c r="D3416" i="15"/>
  <c r="D3417" i="15"/>
  <c r="D3418" i="15"/>
  <c r="D3419" i="15"/>
  <c r="D3420" i="15"/>
  <c r="D3421" i="15"/>
  <c r="D3422" i="15"/>
  <c r="D3423" i="15"/>
  <c r="D3424" i="15"/>
  <c r="D3425" i="15"/>
  <c r="D3426" i="15"/>
  <c r="D3427" i="15"/>
  <c r="D3428" i="15"/>
  <c r="D3429" i="15"/>
  <c r="D3430" i="15"/>
  <c r="D3431" i="15"/>
  <c r="D3432" i="15"/>
  <c r="D3433" i="15"/>
  <c r="D3434" i="15"/>
  <c r="D3435" i="15"/>
  <c r="D3436" i="15"/>
  <c r="D3437" i="15"/>
  <c r="D3438" i="15"/>
  <c r="D3439" i="15"/>
  <c r="D3440" i="15"/>
  <c r="D3441" i="15"/>
  <c r="D3442" i="15"/>
  <c r="D3443" i="15"/>
  <c r="D3444" i="15"/>
  <c r="D3445" i="15"/>
  <c r="D3446" i="15"/>
  <c r="D3447" i="15"/>
  <c r="D3448" i="15"/>
  <c r="D3449" i="15"/>
  <c r="D3450" i="15"/>
  <c r="D3451" i="15"/>
  <c r="D3452" i="15"/>
  <c r="D3453" i="15"/>
  <c r="D3454" i="15"/>
  <c r="D3455" i="15"/>
  <c r="D3456" i="15"/>
  <c r="D3457" i="15"/>
  <c r="D3458" i="15"/>
  <c r="D3459" i="15"/>
  <c r="D3460" i="15"/>
  <c r="D3461" i="15"/>
  <c r="D3462" i="15"/>
  <c r="D3463" i="15"/>
  <c r="D3464" i="15"/>
  <c r="D3465" i="15"/>
  <c r="D3466" i="15"/>
  <c r="D3467" i="15"/>
  <c r="D3468" i="15"/>
  <c r="D3469" i="15"/>
  <c r="D3470" i="15"/>
  <c r="D3471" i="15"/>
  <c r="D3472" i="15"/>
  <c r="D3473" i="15"/>
  <c r="D3474" i="15"/>
  <c r="D3475" i="15"/>
  <c r="D3476" i="15"/>
  <c r="D3477" i="15"/>
  <c r="D3478" i="15"/>
  <c r="D3479" i="15"/>
  <c r="D3480" i="15"/>
  <c r="D3481" i="15"/>
  <c r="D3482" i="15"/>
  <c r="D3483" i="15"/>
  <c r="D3484" i="15"/>
  <c r="D3485" i="15"/>
  <c r="D3486" i="15"/>
  <c r="D3487" i="15"/>
  <c r="D3488" i="15"/>
  <c r="D3489" i="15"/>
  <c r="D3490" i="15"/>
  <c r="D3491" i="15"/>
  <c r="D3492" i="15"/>
  <c r="D3493" i="15"/>
  <c r="D3494" i="15"/>
  <c r="D3495" i="15"/>
  <c r="D3496" i="15"/>
  <c r="D3497" i="15"/>
  <c r="D3498" i="15"/>
  <c r="D3499" i="15"/>
  <c r="D3500" i="15"/>
  <c r="D3501" i="15"/>
  <c r="D3502" i="15"/>
  <c r="D3503" i="15"/>
  <c r="D3504" i="15"/>
  <c r="D3505" i="15"/>
  <c r="D3506" i="15"/>
  <c r="D3507" i="15"/>
  <c r="D3508" i="15"/>
  <c r="D3509" i="15"/>
  <c r="D3510" i="15"/>
  <c r="D3511" i="15"/>
  <c r="D3512" i="15"/>
  <c r="D3513" i="15"/>
  <c r="D3514" i="15"/>
  <c r="D3515" i="15"/>
  <c r="D3516" i="15"/>
  <c r="D3517" i="15"/>
  <c r="D3518" i="15"/>
  <c r="D3519" i="15"/>
  <c r="D3520" i="15"/>
  <c r="D3521" i="15"/>
  <c r="D3522" i="15"/>
  <c r="D3523" i="15"/>
  <c r="D3524" i="15"/>
  <c r="D3525" i="15"/>
  <c r="D3526" i="15"/>
  <c r="D3527" i="15"/>
  <c r="D3528" i="15"/>
  <c r="D3529" i="15"/>
  <c r="D3530" i="15"/>
  <c r="D3531" i="15"/>
  <c r="D3532" i="15"/>
  <c r="D3533" i="15"/>
  <c r="D3534" i="15"/>
  <c r="D3535" i="15"/>
  <c r="D3536" i="15"/>
  <c r="D3537" i="15"/>
  <c r="D3538" i="15"/>
  <c r="D3539" i="15"/>
  <c r="D3540" i="15"/>
  <c r="D3541" i="15"/>
  <c r="D3542" i="15"/>
  <c r="D3543" i="15"/>
  <c r="D3544" i="15"/>
  <c r="D3545" i="15"/>
  <c r="D3546" i="15"/>
  <c r="D3547" i="15"/>
  <c r="D3548" i="15"/>
  <c r="D3549" i="15"/>
  <c r="D3550" i="15"/>
  <c r="D3551" i="15"/>
  <c r="D3552" i="15"/>
  <c r="D3553" i="15"/>
  <c r="D3554" i="15"/>
  <c r="D3555" i="15"/>
  <c r="D3556" i="15"/>
  <c r="D3557" i="15"/>
  <c r="D3558" i="15"/>
  <c r="D3559" i="15"/>
  <c r="D3560" i="15"/>
  <c r="D3561" i="15"/>
  <c r="D3562" i="15"/>
  <c r="D3563" i="15"/>
  <c r="D3564" i="15"/>
  <c r="D3565" i="15"/>
  <c r="D3566" i="15"/>
  <c r="D3567" i="15"/>
  <c r="D3568" i="15"/>
  <c r="D3569" i="15"/>
  <c r="D3570" i="15"/>
  <c r="D3571" i="15"/>
  <c r="D3572" i="15"/>
  <c r="D3573" i="15"/>
  <c r="D3574" i="15"/>
  <c r="D3575" i="15"/>
  <c r="D3576" i="15"/>
  <c r="D3577" i="15"/>
  <c r="D3578" i="15"/>
  <c r="D3579" i="15"/>
  <c r="D3580" i="15"/>
  <c r="D3581" i="15"/>
  <c r="D3582" i="15"/>
  <c r="D3583" i="15"/>
  <c r="D3584" i="15"/>
  <c r="D3585" i="15"/>
  <c r="D3586" i="15"/>
  <c r="D3587" i="15"/>
  <c r="D3588" i="15"/>
  <c r="D3589" i="15"/>
  <c r="D3590" i="15"/>
  <c r="D3591" i="15"/>
  <c r="D3592" i="15"/>
  <c r="D3593" i="15"/>
  <c r="D3594" i="15"/>
  <c r="D3595" i="15"/>
  <c r="D3596" i="15"/>
  <c r="D3597" i="15"/>
  <c r="D3598" i="15"/>
  <c r="D3599" i="15"/>
  <c r="D3600" i="15"/>
  <c r="D3601" i="15"/>
  <c r="D3602" i="15"/>
  <c r="D3603" i="15"/>
  <c r="D3604" i="15"/>
  <c r="D3605" i="15"/>
  <c r="D3606" i="15"/>
  <c r="D3607" i="15"/>
  <c r="D3608" i="15"/>
  <c r="D3609" i="15"/>
  <c r="D3610" i="15"/>
  <c r="D3611" i="15"/>
  <c r="D3612" i="15"/>
  <c r="D3613" i="15"/>
  <c r="D3614" i="15"/>
  <c r="D3615" i="15"/>
  <c r="D3616" i="15"/>
  <c r="D3617" i="15"/>
  <c r="D3618" i="15"/>
  <c r="D3619" i="15"/>
  <c r="D3620" i="15"/>
  <c r="D3621" i="15"/>
  <c r="D3622" i="15"/>
  <c r="D3623" i="15"/>
  <c r="D3624" i="15"/>
  <c r="D3625" i="15"/>
  <c r="D3626" i="15"/>
  <c r="D3627" i="15"/>
  <c r="D3628" i="15"/>
  <c r="D3629" i="15"/>
  <c r="D3630" i="15"/>
  <c r="D3631" i="15"/>
  <c r="D3632" i="15"/>
  <c r="D3633" i="15"/>
  <c r="D3634" i="15"/>
  <c r="D3635" i="15"/>
  <c r="D3636" i="15"/>
  <c r="D3637" i="15"/>
  <c r="D3638" i="15"/>
  <c r="D3639" i="15"/>
  <c r="D3640" i="15"/>
  <c r="D3641" i="15"/>
  <c r="D3642" i="15"/>
  <c r="D3643" i="15"/>
  <c r="D3644" i="15"/>
  <c r="D3645" i="15"/>
  <c r="D3646" i="15"/>
  <c r="D3647" i="15"/>
  <c r="D3648" i="15"/>
  <c r="D3649" i="15"/>
  <c r="D3650" i="15"/>
  <c r="D3651" i="15"/>
  <c r="D3652" i="15"/>
  <c r="D3653" i="15"/>
  <c r="D3654" i="15"/>
  <c r="D3655" i="15"/>
  <c r="D3656" i="15"/>
  <c r="D3657" i="15"/>
  <c r="D3658" i="15"/>
  <c r="D3659" i="15"/>
  <c r="D3660" i="15"/>
  <c r="D3661" i="15"/>
  <c r="D3662" i="15"/>
  <c r="D3663" i="15"/>
  <c r="D3664" i="15"/>
  <c r="D3665" i="15"/>
  <c r="D3666" i="15"/>
  <c r="D3667" i="15"/>
  <c r="D3668" i="15"/>
  <c r="D3669" i="15"/>
  <c r="D3670" i="15"/>
  <c r="D3671" i="15"/>
  <c r="D3672" i="15"/>
  <c r="D3673" i="15"/>
  <c r="D3674" i="15"/>
  <c r="D3675" i="15"/>
  <c r="D3676" i="15"/>
  <c r="D3677" i="15"/>
  <c r="D3678" i="15"/>
  <c r="D3679" i="15"/>
  <c r="D3680" i="15"/>
  <c r="D3681" i="15"/>
  <c r="D3682" i="15"/>
  <c r="D3683" i="15"/>
  <c r="D3684" i="15"/>
  <c r="D3685" i="15"/>
  <c r="D3686" i="15"/>
  <c r="D3687" i="15"/>
  <c r="D3688" i="15"/>
  <c r="D3689" i="15"/>
  <c r="D3690" i="15"/>
  <c r="D3691" i="15"/>
  <c r="D3692" i="15"/>
  <c r="D3693" i="15"/>
  <c r="D3694" i="15"/>
  <c r="D3695" i="15"/>
  <c r="D3696" i="15"/>
  <c r="D3697" i="15"/>
  <c r="D3698" i="15"/>
  <c r="D3699" i="15"/>
  <c r="D3700" i="15"/>
  <c r="D3701" i="15"/>
  <c r="D3702" i="15"/>
  <c r="D3703" i="15"/>
  <c r="D3704" i="15"/>
  <c r="D3705" i="15"/>
  <c r="D3706" i="15"/>
  <c r="D3707" i="15"/>
  <c r="D3708" i="15"/>
  <c r="D3709" i="15"/>
  <c r="D3710" i="15"/>
  <c r="D3711" i="15"/>
  <c r="D3712" i="15"/>
  <c r="D3713" i="15"/>
  <c r="D3714" i="15"/>
  <c r="D3715" i="15"/>
  <c r="D3716" i="15"/>
  <c r="D3717" i="15"/>
  <c r="D3718" i="15"/>
  <c r="D3719" i="15"/>
  <c r="D3720" i="15"/>
  <c r="D3721" i="15"/>
  <c r="D3722" i="15"/>
  <c r="D3723" i="15"/>
  <c r="D3724" i="15"/>
  <c r="D3725" i="15"/>
  <c r="D3726" i="15"/>
  <c r="D3727" i="15"/>
  <c r="D3728" i="15"/>
  <c r="D3729" i="15"/>
  <c r="D3730" i="15"/>
  <c r="D3731" i="15"/>
  <c r="D3732" i="15"/>
  <c r="D3733" i="15"/>
  <c r="D3734" i="15"/>
  <c r="D3735" i="15"/>
  <c r="D3736" i="15"/>
  <c r="D3737" i="15"/>
  <c r="D3738" i="15"/>
  <c r="D3739" i="15"/>
  <c r="D3740" i="15"/>
  <c r="D3741" i="15"/>
  <c r="D3742" i="15"/>
  <c r="D3743" i="15"/>
  <c r="D3744" i="15"/>
  <c r="D3745" i="15"/>
  <c r="D3746" i="15"/>
  <c r="D3747" i="15"/>
  <c r="D3748" i="15"/>
  <c r="D3749" i="15"/>
  <c r="D3750" i="15"/>
  <c r="D3751" i="15"/>
  <c r="D3752" i="15"/>
  <c r="D3753" i="15"/>
  <c r="D3754" i="15"/>
  <c r="D3755" i="15"/>
  <c r="D3756" i="15"/>
  <c r="D3757" i="15"/>
  <c r="D3758" i="15"/>
  <c r="D3759" i="15"/>
  <c r="D3760" i="15"/>
  <c r="D3761" i="15"/>
  <c r="D3762" i="15"/>
  <c r="D3763" i="15"/>
  <c r="D3764" i="15"/>
  <c r="D3765" i="15"/>
  <c r="D3766" i="15"/>
  <c r="D3767" i="15"/>
  <c r="D3768" i="15"/>
  <c r="D3769" i="15"/>
  <c r="D3770" i="15"/>
  <c r="D3771" i="15"/>
  <c r="D3772" i="15"/>
  <c r="D3773" i="15"/>
  <c r="D3774" i="15"/>
  <c r="D3775" i="15"/>
  <c r="D3776" i="15"/>
  <c r="D3777" i="15"/>
  <c r="D3778" i="15"/>
  <c r="D3779" i="15"/>
  <c r="D3780" i="15"/>
  <c r="D3781" i="15"/>
  <c r="D3782" i="15"/>
  <c r="D3783" i="15"/>
  <c r="D3784" i="15"/>
  <c r="D3785" i="15"/>
  <c r="D3786" i="15"/>
  <c r="D3787" i="15"/>
  <c r="D3788" i="15"/>
  <c r="D3789" i="15"/>
  <c r="D3790" i="15"/>
  <c r="D3791" i="15"/>
  <c r="D3792" i="15"/>
  <c r="D3793" i="15"/>
  <c r="D3794" i="15"/>
  <c r="D3795" i="15"/>
  <c r="D3796" i="15"/>
  <c r="D3797" i="15"/>
  <c r="D3798" i="15"/>
  <c r="D3799" i="15"/>
  <c r="D3800" i="15"/>
  <c r="D3801" i="15"/>
  <c r="D3802" i="15"/>
  <c r="D3803" i="15"/>
  <c r="D3804" i="15"/>
  <c r="D3805" i="15"/>
  <c r="D3806" i="15"/>
  <c r="D3807" i="15"/>
  <c r="D3808" i="15"/>
  <c r="D3809" i="15"/>
  <c r="D3810" i="15"/>
  <c r="D3811" i="15"/>
  <c r="D3812" i="15"/>
  <c r="D3813" i="15"/>
  <c r="D3814" i="15"/>
  <c r="D3815" i="15"/>
  <c r="D3816" i="15"/>
  <c r="D3817" i="15"/>
  <c r="D3818" i="15"/>
  <c r="D3819" i="15"/>
  <c r="D3820" i="15"/>
  <c r="D3821" i="15"/>
  <c r="D3822" i="15"/>
  <c r="D3823" i="15"/>
  <c r="D3824" i="15"/>
  <c r="D3825" i="15"/>
  <c r="D3826" i="15"/>
  <c r="D3827" i="15"/>
  <c r="D3828" i="15"/>
  <c r="D3829" i="15"/>
  <c r="D3830" i="15"/>
  <c r="D3831" i="15"/>
  <c r="D3832" i="15"/>
  <c r="D3833" i="15"/>
  <c r="D3834" i="15"/>
  <c r="D3835" i="15"/>
  <c r="D3836" i="15"/>
  <c r="D3837" i="15"/>
  <c r="D3838" i="15"/>
  <c r="D3839" i="15"/>
  <c r="D3840" i="15"/>
  <c r="D3841" i="15"/>
  <c r="D3842" i="15"/>
  <c r="D3843" i="15"/>
  <c r="D3844" i="15"/>
  <c r="D3845" i="15"/>
  <c r="D3846" i="15"/>
  <c r="D3847" i="15"/>
  <c r="D3848" i="15"/>
  <c r="D3849" i="15"/>
  <c r="D3850" i="15"/>
  <c r="D3851" i="15"/>
  <c r="D3852" i="15"/>
  <c r="D3853" i="15"/>
  <c r="D3854" i="15"/>
  <c r="D3855" i="15"/>
  <c r="D3856" i="15"/>
  <c r="D3857" i="15"/>
  <c r="D3858" i="15"/>
  <c r="D3859" i="15"/>
  <c r="D3860" i="15"/>
  <c r="D3861" i="15"/>
  <c r="D3862" i="15"/>
  <c r="D3863" i="15"/>
  <c r="D3864" i="15"/>
  <c r="D3865" i="15"/>
  <c r="D3866" i="15"/>
  <c r="D3867" i="15"/>
  <c r="D3868" i="15"/>
  <c r="D3869" i="15"/>
  <c r="D3870" i="15"/>
  <c r="D3871" i="15"/>
  <c r="D3872" i="15"/>
  <c r="D3873" i="15"/>
  <c r="D3874" i="15"/>
  <c r="D3875" i="15"/>
  <c r="D3876" i="15"/>
  <c r="D3877" i="15"/>
  <c r="D3878" i="15"/>
  <c r="D3879" i="15"/>
  <c r="D3880" i="15"/>
  <c r="D3881" i="15"/>
  <c r="D3882" i="15"/>
  <c r="D3883" i="15"/>
  <c r="D3884" i="15"/>
  <c r="D3885" i="15"/>
  <c r="D3886" i="15"/>
  <c r="D3887" i="15"/>
  <c r="D3888" i="15"/>
  <c r="D3889" i="15"/>
  <c r="D3890" i="15"/>
  <c r="D3891" i="15"/>
  <c r="D3892" i="15"/>
  <c r="D3893" i="15"/>
  <c r="D3894" i="15"/>
  <c r="D3895" i="15"/>
  <c r="D3896" i="15"/>
  <c r="D3897" i="15"/>
  <c r="D3898" i="15"/>
  <c r="D3899" i="15"/>
  <c r="D3900" i="15"/>
  <c r="D3901" i="15"/>
  <c r="D3902" i="15"/>
  <c r="D3903" i="15"/>
  <c r="D3904" i="15"/>
  <c r="D3905" i="15"/>
  <c r="D3906" i="15"/>
  <c r="D3907" i="15"/>
  <c r="D3908" i="15"/>
  <c r="D3909" i="15"/>
  <c r="D3910" i="15"/>
  <c r="D3911" i="15"/>
  <c r="D3912" i="15"/>
  <c r="D3913" i="15"/>
  <c r="D3914" i="15"/>
  <c r="D3915" i="15"/>
  <c r="D3916" i="15"/>
  <c r="D3917" i="15"/>
  <c r="D3918" i="15"/>
  <c r="D3919" i="15"/>
  <c r="D3920" i="15"/>
  <c r="D3921" i="15"/>
  <c r="D3922" i="15"/>
  <c r="D3923" i="15"/>
  <c r="D3924" i="15"/>
  <c r="D3925" i="15"/>
  <c r="D3926" i="15"/>
  <c r="D3927" i="15"/>
  <c r="D3928" i="15"/>
  <c r="D3929" i="15"/>
  <c r="D3930" i="15"/>
  <c r="D3931" i="15"/>
  <c r="D3932" i="15"/>
  <c r="D3933" i="15"/>
  <c r="D3934" i="15"/>
  <c r="D3935" i="15"/>
  <c r="D3936" i="15"/>
  <c r="D3937" i="15"/>
  <c r="D3938" i="15"/>
  <c r="D3939" i="15"/>
  <c r="D3940" i="15"/>
  <c r="D3941" i="15"/>
  <c r="D3942" i="15"/>
  <c r="D3943" i="15"/>
  <c r="D3944" i="15"/>
  <c r="D3945" i="15"/>
  <c r="D3946" i="15"/>
  <c r="D3947" i="15"/>
  <c r="D3948" i="15"/>
  <c r="D3949" i="15"/>
  <c r="D3950" i="15"/>
  <c r="D3951" i="15"/>
  <c r="D3952" i="15"/>
  <c r="D3953" i="15"/>
  <c r="D3954" i="15"/>
  <c r="D3955" i="15"/>
  <c r="D3956" i="15"/>
  <c r="D3957" i="15"/>
  <c r="D3958" i="15"/>
  <c r="D3959" i="15"/>
  <c r="D3960" i="15"/>
  <c r="D3961" i="15"/>
  <c r="D3962" i="15"/>
  <c r="D3963" i="15"/>
  <c r="D3964" i="15"/>
  <c r="D3965" i="15"/>
  <c r="F3" i="15" l="1"/>
  <c r="G3" i="15" s="1"/>
  <c r="F4" i="15"/>
  <c r="G4" i="15" s="1"/>
  <c r="F5" i="15"/>
  <c r="G5" i="15" s="1"/>
  <c r="F6" i="15"/>
  <c r="G6" i="15" s="1"/>
  <c r="F7" i="15"/>
  <c r="G7" i="15" s="1"/>
  <c r="F8" i="15"/>
  <c r="G8" i="15" s="1"/>
  <c r="F9" i="15"/>
  <c r="G9" i="15" s="1"/>
  <c r="F10" i="15"/>
  <c r="G10" i="15" s="1"/>
  <c r="F11" i="15"/>
  <c r="G11" i="15" s="1"/>
  <c r="F12" i="15"/>
  <c r="G12" i="15" s="1"/>
  <c r="F13" i="15"/>
  <c r="G13" i="15" s="1"/>
  <c r="F14" i="15"/>
  <c r="G14" i="15" s="1"/>
  <c r="F15" i="15"/>
  <c r="G15" i="15" s="1"/>
  <c r="F16" i="15"/>
  <c r="G16" i="15" s="1"/>
  <c r="F17" i="15"/>
  <c r="G17" i="15" s="1"/>
  <c r="F18" i="15"/>
  <c r="G18" i="15" s="1"/>
  <c r="F19" i="15"/>
  <c r="G19" i="15" s="1"/>
  <c r="F2" i="15"/>
  <c r="G2" i="15" s="1"/>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D1516" i="15"/>
  <c r="D1517" i="15"/>
  <c r="D1518" i="15"/>
  <c r="D1519" i="15"/>
  <c r="D1520" i="15"/>
  <c r="D1521" i="15"/>
  <c r="D1522" i="15"/>
  <c r="D1523" i="15"/>
  <c r="D1524" i="15"/>
  <c r="D1525" i="15"/>
  <c r="D1526" i="15"/>
  <c r="D1527" i="15"/>
  <c r="D1528" i="15"/>
  <c r="D1529" i="15"/>
  <c r="D1530" i="15"/>
  <c r="D1531" i="15"/>
  <c r="D1532" i="15"/>
  <c r="D1533" i="15"/>
  <c r="D1534" i="15"/>
  <c r="D1535" i="15"/>
  <c r="D1536" i="15"/>
  <c r="D1537" i="15"/>
  <c r="D1538" i="15"/>
  <c r="D1539" i="15"/>
  <c r="D1540" i="15"/>
  <c r="D1541" i="15"/>
  <c r="D1542" i="15"/>
  <c r="D1543" i="15"/>
  <c r="D1544" i="15"/>
  <c r="D1545" i="15"/>
  <c r="D1546" i="15"/>
  <c r="D1547" i="15"/>
  <c r="D1548" i="15"/>
  <c r="D1549" i="15"/>
  <c r="D1550" i="15"/>
  <c r="D1551" i="15"/>
  <c r="D1552" i="15"/>
  <c r="D1553" i="15"/>
  <c r="D1554" i="15"/>
  <c r="D1555" i="15"/>
  <c r="D1556" i="15"/>
  <c r="D1557" i="15"/>
  <c r="D1558" i="15"/>
  <c r="D1559" i="15"/>
  <c r="D1560" i="15"/>
  <c r="D1561" i="15"/>
  <c r="D1562" i="15"/>
  <c r="D1563" i="15"/>
  <c r="D1564" i="15"/>
  <c r="D1565" i="15"/>
  <c r="D1566" i="15"/>
  <c r="D1567" i="15"/>
  <c r="D1568" i="15"/>
  <c r="D1569" i="15"/>
  <c r="D1570" i="15"/>
  <c r="D1571" i="15"/>
  <c r="D1572" i="15"/>
  <c r="D1573" i="15"/>
  <c r="D1574" i="15"/>
  <c r="D1575" i="15"/>
  <c r="D1576" i="15"/>
  <c r="D1577" i="15"/>
  <c r="D1578" i="15"/>
  <c r="D1579" i="15"/>
  <c r="D1580" i="15"/>
  <c r="D1581" i="15"/>
  <c r="D1582" i="15"/>
  <c r="D1583" i="15"/>
  <c r="D1584" i="15"/>
  <c r="D1585" i="15"/>
  <c r="D1586" i="15"/>
  <c r="D1587" i="15"/>
  <c r="D1588" i="15"/>
  <c r="D1589" i="15"/>
  <c r="D1590" i="15"/>
  <c r="D1591" i="15"/>
  <c r="D1592" i="15"/>
  <c r="D1593" i="15"/>
  <c r="D1594" i="15"/>
  <c r="D1595" i="15"/>
  <c r="D1596" i="15"/>
  <c r="D1597" i="15"/>
  <c r="D1598" i="15"/>
  <c r="D1599" i="15"/>
  <c r="D1600" i="15"/>
  <c r="D1601" i="15"/>
  <c r="D1602" i="15"/>
  <c r="D1603" i="15"/>
  <c r="D1604" i="15"/>
  <c r="D1605" i="15"/>
  <c r="D1606" i="15"/>
  <c r="D1607" i="15"/>
  <c r="D1608" i="15"/>
  <c r="D1609" i="15"/>
  <c r="D1610" i="15"/>
  <c r="D1611" i="15"/>
  <c r="D1612" i="15"/>
  <c r="D1613" i="15"/>
  <c r="D1614" i="15"/>
  <c r="D1615" i="15"/>
  <c r="D1616" i="15"/>
  <c r="D1617" i="15"/>
  <c r="D1618" i="15"/>
  <c r="D1619" i="15"/>
  <c r="D1620" i="15"/>
  <c r="D1621" i="15"/>
  <c r="D1622" i="15"/>
  <c r="D1623" i="15"/>
  <c r="D1624" i="15"/>
  <c r="D1625" i="15"/>
  <c r="D1626" i="15"/>
  <c r="D1627" i="15"/>
  <c r="D1628" i="15"/>
  <c r="D1629" i="15"/>
  <c r="D1630" i="15"/>
  <c r="D1631" i="15"/>
  <c r="D1632" i="15"/>
  <c r="D1633" i="15"/>
  <c r="D1634" i="15"/>
  <c r="D1635" i="15"/>
  <c r="D1636" i="15"/>
  <c r="D1637" i="15"/>
  <c r="D1638" i="15"/>
  <c r="D1639" i="15"/>
  <c r="D1640" i="15"/>
  <c r="D1641" i="15"/>
  <c r="D1642" i="15"/>
  <c r="D1643" i="15"/>
  <c r="D1644" i="15"/>
  <c r="D1645" i="15"/>
  <c r="D1646" i="15"/>
  <c r="D1647" i="15"/>
  <c r="D1648" i="15"/>
  <c r="D1649" i="15"/>
  <c r="D1650" i="15"/>
  <c r="D1651" i="15"/>
  <c r="D1652" i="15"/>
  <c r="D1653" i="15"/>
  <c r="D1654" i="15"/>
  <c r="D1655" i="15"/>
  <c r="D1656" i="15"/>
  <c r="D1657" i="15"/>
  <c r="D1658" i="15"/>
  <c r="D1659" i="15"/>
  <c r="D1660" i="15"/>
  <c r="D1661" i="15"/>
  <c r="D1662" i="15"/>
  <c r="D1663" i="15"/>
  <c r="D1664" i="15"/>
  <c r="D1665" i="15"/>
  <c r="D1666" i="15"/>
  <c r="D1667" i="15"/>
  <c r="D1668" i="15"/>
  <c r="D1669" i="15"/>
  <c r="D1670" i="15"/>
  <c r="D1671" i="15"/>
  <c r="D1672" i="15"/>
  <c r="D1673" i="15"/>
  <c r="D1674" i="15"/>
  <c r="D1675" i="15"/>
  <c r="D1676" i="15"/>
  <c r="D1677" i="15"/>
  <c r="D1678" i="15"/>
  <c r="D1679" i="15"/>
  <c r="D1680" i="15"/>
  <c r="D1681" i="15"/>
  <c r="D1682" i="15"/>
  <c r="D1683" i="15"/>
  <c r="D1684" i="15"/>
  <c r="D1685" i="15"/>
  <c r="D1686" i="15"/>
  <c r="D1687" i="15"/>
  <c r="D1688" i="15"/>
  <c r="D1689" i="15"/>
  <c r="D1690" i="15"/>
  <c r="D1691" i="15"/>
  <c r="D1692" i="15"/>
  <c r="D1693" i="15"/>
  <c r="D1694" i="15"/>
  <c r="D1695" i="15"/>
  <c r="D1696" i="15"/>
  <c r="D1697" i="15"/>
  <c r="D1698" i="15"/>
  <c r="D1699" i="15"/>
  <c r="D1700" i="15"/>
  <c r="D1701" i="15"/>
  <c r="D1702" i="15"/>
  <c r="D1703" i="15"/>
  <c r="D1704" i="15"/>
  <c r="D1705" i="15"/>
  <c r="D1706" i="15"/>
  <c r="D1707" i="15"/>
  <c r="D1708" i="15"/>
  <c r="D1709" i="15"/>
  <c r="D1710" i="15"/>
  <c r="D1711" i="15"/>
  <c r="D1712" i="15"/>
  <c r="D1713" i="15"/>
  <c r="D1714" i="15"/>
  <c r="D1715" i="15"/>
  <c r="D1716" i="15"/>
  <c r="D1717" i="15"/>
  <c r="D1718" i="15"/>
  <c r="D1719" i="15"/>
  <c r="D1720" i="15"/>
  <c r="D1721" i="15"/>
  <c r="D1722" i="15"/>
  <c r="D1723" i="15"/>
  <c r="D1724" i="15"/>
  <c r="D1725" i="15"/>
  <c r="D1726" i="15"/>
  <c r="D1727" i="15"/>
  <c r="D1728" i="15"/>
  <c r="D1729" i="15"/>
  <c r="D1730" i="15"/>
  <c r="D1731" i="15"/>
  <c r="D1732" i="15"/>
  <c r="D1733" i="15"/>
  <c r="D1734" i="15"/>
  <c r="D1735" i="15"/>
  <c r="D1736" i="15"/>
  <c r="D1737" i="15"/>
  <c r="D1738" i="15"/>
  <c r="D1739" i="15"/>
  <c r="D1740" i="15"/>
  <c r="D1741" i="15"/>
  <c r="D1742" i="15"/>
  <c r="D1743" i="15"/>
  <c r="D1744" i="15"/>
  <c r="D1745" i="15"/>
  <c r="D1746" i="15"/>
  <c r="D1747" i="15"/>
  <c r="D1748" i="15"/>
  <c r="D1749" i="15"/>
  <c r="D1750" i="15"/>
  <c r="D1751" i="15"/>
  <c r="D1752" i="15"/>
  <c r="D1753" i="15"/>
  <c r="D1754" i="15"/>
  <c r="D1755" i="15"/>
  <c r="D1756" i="15"/>
  <c r="D1757" i="15"/>
  <c r="D1758" i="15"/>
  <c r="D1759" i="15"/>
  <c r="D1760" i="15"/>
  <c r="D1761" i="15"/>
  <c r="D1762" i="15"/>
  <c r="D1763" i="15"/>
  <c r="D1764" i="15"/>
  <c r="D1765" i="15"/>
  <c r="D1766" i="15"/>
  <c r="D1767" i="15"/>
  <c r="D1768" i="15"/>
  <c r="D1769" i="15"/>
  <c r="D1770" i="15"/>
  <c r="D1771" i="15"/>
  <c r="D1772" i="15"/>
  <c r="D1773" i="15"/>
  <c r="D1774" i="15"/>
  <c r="D1775" i="15"/>
  <c r="D1776" i="15"/>
  <c r="D1777" i="15"/>
  <c r="D1778" i="15"/>
  <c r="D1779" i="15"/>
  <c r="D1780" i="15"/>
  <c r="D1781" i="15"/>
  <c r="D1782" i="15"/>
  <c r="D1783" i="15"/>
  <c r="D1784" i="15"/>
  <c r="D1785" i="15"/>
  <c r="D1786" i="15"/>
  <c r="D1787" i="15"/>
  <c r="D1788" i="15"/>
  <c r="D1789" i="15"/>
  <c r="D1790" i="15"/>
  <c r="D1791" i="15"/>
  <c r="D1792" i="15"/>
  <c r="D1793" i="15"/>
  <c r="D1794" i="15"/>
  <c r="D1795" i="15"/>
  <c r="D1796" i="15"/>
  <c r="D1797" i="15"/>
  <c r="D1798" i="15"/>
  <c r="D1799" i="15"/>
  <c r="D1800" i="15"/>
  <c r="D1801" i="15"/>
  <c r="D1802" i="15"/>
  <c r="D1803" i="15"/>
  <c r="D1804" i="15"/>
  <c r="D1805" i="15"/>
  <c r="D1806" i="15"/>
  <c r="D1807" i="15"/>
  <c r="D1808" i="15"/>
  <c r="D1809" i="15"/>
  <c r="D1810" i="15"/>
  <c r="D1811" i="15"/>
  <c r="D1812" i="15"/>
  <c r="D1813" i="15"/>
  <c r="D1814" i="15"/>
  <c r="D1815" i="15"/>
  <c r="D1816" i="15"/>
  <c r="D1817" i="15"/>
  <c r="D1818" i="15"/>
  <c r="D1819" i="15"/>
  <c r="D1820" i="15"/>
  <c r="D1821" i="15"/>
  <c r="D1822" i="15"/>
  <c r="D1823" i="15"/>
  <c r="D1824" i="15"/>
  <c r="D1825" i="15"/>
  <c r="D1826" i="15"/>
  <c r="D1827" i="15"/>
  <c r="D1828" i="15"/>
  <c r="D1829" i="15"/>
  <c r="D1830" i="15"/>
  <c r="D1831" i="15"/>
  <c r="D1832" i="15"/>
  <c r="D1833" i="15"/>
  <c r="D1834" i="15"/>
  <c r="D1835" i="15"/>
  <c r="D1836" i="15"/>
  <c r="D1837" i="15"/>
  <c r="D1838" i="15"/>
  <c r="D1839" i="15"/>
  <c r="D1840" i="15"/>
  <c r="D1841" i="15"/>
  <c r="D1842" i="15"/>
  <c r="D1843" i="15"/>
  <c r="D1844" i="15"/>
  <c r="D1845" i="15"/>
  <c r="D1846" i="15"/>
  <c r="D1847" i="15"/>
  <c r="D1848" i="15"/>
  <c r="D1849" i="15"/>
  <c r="D1850" i="15"/>
  <c r="D1851" i="15"/>
  <c r="D1852" i="15"/>
  <c r="D1853" i="15"/>
  <c r="D1854" i="15"/>
  <c r="D1855" i="15"/>
  <c r="D1856" i="15"/>
  <c r="D1857" i="15"/>
  <c r="D1858" i="15"/>
  <c r="D1859" i="15"/>
  <c r="D1860" i="15"/>
  <c r="D1861" i="15"/>
  <c r="D1862" i="15"/>
  <c r="D1863" i="15"/>
  <c r="D1864" i="15"/>
  <c r="D1865" i="15"/>
  <c r="D1866" i="15"/>
  <c r="D1867" i="15"/>
  <c r="D1868" i="15"/>
  <c r="D1869" i="15"/>
  <c r="D1870" i="15"/>
  <c r="D1871" i="15"/>
  <c r="D1872" i="15"/>
  <c r="D1873" i="15"/>
  <c r="D1874" i="15"/>
  <c r="D1875" i="15"/>
  <c r="D1876" i="15"/>
  <c r="D1877" i="15"/>
  <c r="D1878" i="15"/>
  <c r="D1879" i="15"/>
  <c r="D1880" i="15"/>
  <c r="D1881" i="15"/>
  <c r="D1882" i="15"/>
  <c r="D1883" i="15"/>
  <c r="D1884" i="15"/>
  <c r="D1885" i="15"/>
  <c r="D1886" i="15"/>
  <c r="D1887" i="15"/>
  <c r="D1888" i="15"/>
  <c r="D1889" i="15"/>
  <c r="D1890" i="15"/>
  <c r="D1891" i="15"/>
  <c r="D1892" i="15"/>
  <c r="D1893" i="15"/>
  <c r="D1894" i="15"/>
  <c r="D1895" i="15"/>
  <c r="D1896" i="15"/>
  <c r="D1897" i="15"/>
  <c r="D1898" i="15"/>
  <c r="D1899" i="15"/>
  <c r="D1900" i="15"/>
  <c r="D1901" i="15"/>
  <c r="D1902" i="15"/>
  <c r="D1903" i="15"/>
  <c r="D1904" i="15"/>
  <c r="D1905" i="15"/>
  <c r="D1906" i="15"/>
  <c r="D1907" i="15"/>
  <c r="D1908" i="15"/>
  <c r="D1909" i="15"/>
  <c r="D1910" i="15"/>
  <c r="D1911" i="15"/>
  <c r="D1912" i="15"/>
  <c r="D1913" i="15"/>
  <c r="D1914" i="15"/>
  <c r="D1915" i="15"/>
  <c r="D1916" i="15"/>
  <c r="D1917" i="15"/>
  <c r="D1918" i="15"/>
  <c r="D1919" i="15"/>
  <c r="D1920" i="15"/>
  <c r="D1921" i="15"/>
  <c r="D1922" i="15"/>
  <c r="D1923" i="15"/>
  <c r="D1924" i="15"/>
  <c r="D1925" i="15"/>
  <c r="D1926" i="15"/>
  <c r="D1927" i="15"/>
  <c r="D1928" i="15"/>
  <c r="D1929" i="15"/>
  <c r="D1930" i="15"/>
  <c r="D1931" i="15"/>
  <c r="D1932" i="15"/>
  <c r="D1933" i="15"/>
  <c r="D1934" i="15"/>
  <c r="D1935" i="15"/>
  <c r="D1936" i="15"/>
  <c r="D1937" i="15"/>
  <c r="D1938" i="15"/>
  <c r="D1939" i="15"/>
  <c r="D1940" i="15"/>
  <c r="D1941" i="15"/>
  <c r="D1942" i="15"/>
  <c r="D1943" i="15"/>
  <c r="D1944" i="15"/>
  <c r="D1945" i="15"/>
  <c r="D1946" i="15"/>
  <c r="D1947" i="15"/>
  <c r="D1948" i="15"/>
  <c r="D1949" i="15"/>
  <c r="D1950" i="15"/>
  <c r="D1951" i="15"/>
  <c r="D1952" i="15"/>
  <c r="D1953" i="15"/>
  <c r="D1954" i="15"/>
  <c r="D1955" i="15"/>
  <c r="D1956" i="15"/>
  <c r="D1957" i="15"/>
  <c r="D1958" i="15"/>
  <c r="D1959" i="15"/>
  <c r="D1960" i="15"/>
  <c r="D1961" i="15"/>
  <c r="D1962" i="15"/>
  <c r="D1963" i="15"/>
  <c r="D1964" i="15"/>
  <c r="D1965" i="15"/>
  <c r="D1966" i="15"/>
  <c r="D1967" i="15"/>
  <c r="D1968" i="15"/>
  <c r="D1969" i="15"/>
  <c r="D1970" i="15"/>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D2002" i="15"/>
  <c r="D2003" i="15"/>
  <c r="D2004" i="15"/>
  <c r="D2005" i="15"/>
  <c r="D2006" i="15"/>
  <c r="D2007" i="15"/>
  <c r="D2008" i="15"/>
  <c r="D2009" i="15"/>
  <c r="D2010" i="15"/>
  <c r="D2011" i="15"/>
  <c r="D2012" i="15"/>
  <c r="D2013" i="15"/>
  <c r="D2014" i="15"/>
  <c r="D2015" i="15"/>
  <c r="D2016" i="15"/>
  <c r="D2017" i="15"/>
  <c r="D2018" i="15"/>
  <c r="D2019" i="15"/>
  <c r="D2020" i="15"/>
  <c r="D2021" i="15"/>
  <c r="D2022" i="15"/>
  <c r="D2023" i="15"/>
  <c r="D2024" i="15"/>
  <c r="D2025" i="15"/>
  <c r="D2026" i="15"/>
  <c r="D2027" i="15"/>
  <c r="D2028" i="15"/>
  <c r="D2029" i="15"/>
  <c r="D2030" i="15"/>
  <c r="D2031" i="15"/>
  <c r="D2032" i="15"/>
  <c r="D2033" i="15"/>
  <c r="D2034" i="15"/>
  <c r="D2035" i="15"/>
  <c r="D2036" i="15"/>
  <c r="D2037" i="15"/>
  <c r="D2038" i="15"/>
  <c r="D2039" i="15"/>
  <c r="D2040" i="15"/>
  <c r="D2041" i="15"/>
  <c r="D2042" i="15"/>
  <c r="D2043" i="15"/>
  <c r="D2044" i="15"/>
  <c r="D2045" i="15"/>
  <c r="D2046" i="15"/>
  <c r="D2047" i="15"/>
  <c r="D2048" i="15"/>
  <c r="D2049" i="15"/>
  <c r="D2050" i="15"/>
  <c r="D2051" i="15"/>
  <c r="D2052" i="15"/>
  <c r="D2053" i="15"/>
  <c r="D2054" i="15"/>
  <c r="D2055" i="15"/>
  <c r="D2056" i="15"/>
  <c r="D2057" i="15"/>
  <c r="D2058" i="15"/>
  <c r="D2059" i="15"/>
  <c r="D2060" i="15"/>
  <c r="D2061" i="15"/>
  <c r="D2062" i="15"/>
  <c r="D2063" i="15"/>
  <c r="D2064" i="15"/>
  <c r="D2065" i="15"/>
  <c r="D2066" i="15"/>
  <c r="D2067" i="15"/>
  <c r="D2068" i="15"/>
  <c r="D2069" i="15"/>
  <c r="D2070" i="15"/>
  <c r="D2071" i="15"/>
  <c r="D2072" i="15"/>
  <c r="D2073" i="15"/>
  <c r="D2074" i="15"/>
  <c r="D2075" i="15"/>
  <c r="D2076" i="15"/>
  <c r="D2077" i="15"/>
  <c r="D2078" i="15"/>
  <c r="D2079" i="15"/>
  <c r="D2080" i="15"/>
  <c r="D2081" i="15"/>
  <c r="D2082" i="15"/>
  <c r="D2083" i="15"/>
  <c r="D2084" i="15"/>
  <c r="D2085" i="15"/>
  <c r="D2086" i="15"/>
  <c r="D2087" i="15"/>
  <c r="D2088" i="15"/>
  <c r="D2089" i="15"/>
  <c r="D2090" i="15"/>
  <c r="D2091" i="15"/>
  <c r="D2092" i="15"/>
  <c r="D2093" i="15"/>
  <c r="D2094" i="15"/>
  <c r="D2095" i="15"/>
  <c r="D2096" i="15"/>
  <c r="D2097" i="15"/>
  <c r="D2098" i="15"/>
  <c r="D2099" i="15"/>
  <c r="D2100" i="15"/>
  <c r="D2101" i="15"/>
  <c r="D2102" i="15"/>
  <c r="D2103" i="15"/>
  <c r="D2104" i="15"/>
  <c r="D2105" i="15"/>
  <c r="D2106" i="15"/>
  <c r="D2107" i="15"/>
  <c r="D2108" i="15"/>
  <c r="D2109" i="15"/>
  <c r="D2110" i="15"/>
  <c r="D2111" i="15"/>
  <c r="D2112" i="15"/>
  <c r="D2113" i="15"/>
  <c r="D2114" i="15"/>
  <c r="D2115" i="15"/>
  <c r="D2116" i="15"/>
  <c r="D2117" i="15"/>
  <c r="D2118" i="15"/>
  <c r="D2119" i="15"/>
  <c r="D2120" i="15"/>
  <c r="D2121" i="15"/>
  <c r="D2122" i="15"/>
  <c r="D2123" i="15"/>
  <c r="D2124" i="15"/>
  <c r="D2125" i="15"/>
  <c r="D2126" i="15"/>
  <c r="D2127" i="15"/>
  <c r="D2128" i="15"/>
  <c r="D2129" i="15"/>
  <c r="D2130" i="15"/>
  <c r="D2131" i="15"/>
  <c r="D2132" i="15"/>
  <c r="D2133" i="15"/>
  <c r="D2134" i="15"/>
  <c r="D2135" i="15"/>
  <c r="D2136" i="15"/>
  <c r="D2137" i="15"/>
  <c r="D2138" i="15"/>
  <c r="D2139" i="15"/>
  <c r="D2140" i="15"/>
  <c r="D2141" i="15"/>
  <c r="D2142" i="15"/>
  <c r="D2143" i="15"/>
  <c r="D2144" i="15"/>
  <c r="D2145" i="15"/>
  <c r="D2146" i="15"/>
  <c r="D2147" i="15"/>
  <c r="D2148" i="15"/>
  <c r="D2149" i="15"/>
  <c r="D2150" i="15"/>
  <c r="D2151" i="15"/>
  <c r="D30" i="15"/>
  <c r="F22" i="15" l="1"/>
  <c r="G22" i="15" s="1"/>
  <c r="I13" i="6" l="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D3" i="6" l="1"/>
  <c r="D4" i="6"/>
  <c r="D5" i="6"/>
  <c r="D6" i="6"/>
  <c r="D7" i="6"/>
  <c r="D2" i="6"/>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 i="11"/>
  <c r="O14" i="1" l="1"/>
  <c r="H29" i="9" l="1"/>
  <c r="H34" i="9"/>
  <c r="H30" i="9" l="1"/>
  <c r="D2" i="2"/>
  <c r="L1" i="1"/>
  <c r="D4" i="2" l="1"/>
  <c r="Q3" i="1"/>
  <c r="P3" i="1"/>
  <c r="O3" i="1"/>
  <c r="R3" i="1" l="1"/>
  <c r="S3" i="1" s="1"/>
  <c r="A5" i="20" l="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132" i="20" s="1"/>
  <c r="A133" i="20" s="1"/>
  <c r="D25" i="21"/>
  <c r="D26" i="21" s="1"/>
  <c r="D27" i="21" s="1"/>
  <c r="D28" i="21" s="1"/>
  <c r="D29" i="21" s="1"/>
  <c r="D30" i="21" s="1"/>
  <c r="D31" i="21" s="1"/>
  <c r="D32" i="21" s="1"/>
  <c r="D33" i="21" s="1"/>
  <c r="D34" i="21" s="1"/>
  <c r="D35" i="21" s="1"/>
  <c r="D36" i="21" s="1"/>
  <c r="D37" i="21" s="1"/>
  <c r="D38" i="21" s="1"/>
  <c r="D39" i="21" s="1"/>
  <c r="D40" i="21" s="1"/>
  <c r="D2" i="21"/>
  <c r="D3" i="21" s="1"/>
  <c r="D4" i="21" s="1"/>
  <c r="D5" i="21" s="1"/>
  <c r="D6" i="21" s="1"/>
  <c r="D7" i="21" s="1"/>
  <c r="D8" i="21" s="1"/>
  <c r="D9" i="21" s="1"/>
  <c r="D10" i="21" s="1"/>
  <c r="D11" i="21" s="1"/>
  <c r="D12" i="21" s="1"/>
  <c r="D13" i="21" s="1"/>
  <c r="D14" i="21" s="1"/>
  <c r="D15" i="21" s="1"/>
  <c r="D16" i="21" s="1"/>
  <c r="D17" i="21" s="1"/>
  <c r="D18" i="21" s="1"/>
  <c r="D19" i="21" s="1"/>
  <c r="D20" i="21" s="1"/>
  <c r="D21" i="21" s="1"/>
  <c r="D22" i="21" s="1"/>
  <c r="D23" i="21" s="1"/>
</calcChain>
</file>

<file path=xl/sharedStrings.xml><?xml version="1.0" encoding="utf-8"?>
<sst xmlns="http://schemas.openxmlformats.org/spreadsheetml/2006/main" count="9534" uniqueCount="4975">
  <si>
    <t xml:space="preserve">Deposit </t>
  </si>
  <si>
    <t>Deposit Amount</t>
  </si>
  <si>
    <t>CN NO#</t>
  </si>
  <si>
    <t>Remarks</t>
  </si>
  <si>
    <t>Paid Amount</t>
  </si>
  <si>
    <t>Remaning Amount</t>
  </si>
  <si>
    <t>FS875596906</t>
  </si>
  <si>
    <t>KI875068982</t>
  </si>
  <si>
    <t>FS875538533</t>
  </si>
  <si>
    <t>KI876400507</t>
  </si>
  <si>
    <t>Received Amount</t>
  </si>
  <si>
    <t>MX875435386</t>
  </si>
  <si>
    <t>KI875025843</t>
  </si>
  <si>
    <t>KI876294935</t>
  </si>
  <si>
    <t>Amount</t>
  </si>
  <si>
    <t>Paid Amt</t>
  </si>
  <si>
    <t>Need \Amount</t>
  </si>
  <si>
    <t xml:space="preserve">CN </t>
  </si>
  <si>
    <t xml:space="preserve">Name </t>
  </si>
  <si>
    <t xml:space="preserve">Day Count </t>
  </si>
  <si>
    <t xml:space="preserve">Date </t>
  </si>
  <si>
    <t>CN #</t>
  </si>
  <si>
    <t xml:space="preserve">Delivered </t>
  </si>
  <si>
    <t xml:space="preserve">Pending </t>
  </si>
  <si>
    <t>Re AMT</t>
  </si>
  <si>
    <t>Remarks \</t>
  </si>
  <si>
    <t xml:space="preserve"> </t>
  </si>
  <si>
    <t xml:space="preserve">New CN </t>
  </si>
  <si>
    <t xml:space="preserve">Status </t>
  </si>
  <si>
    <t xml:space="preserve">Remarks </t>
  </si>
  <si>
    <t>KI877520062</t>
  </si>
  <si>
    <t>KI877563520</t>
  </si>
  <si>
    <t>Replacement -DONE</t>
  </si>
  <si>
    <t>Shoaib</t>
  </si>
  <si>
    <t xml:space="preserve"> Shoaib Received Amt</t>
  </si>
  <si>
    <t>?</t>
  </si>
  <si>
    <t xml:space="preserve">OLD CN </t>
  </si>
  <si>
    <t>Account</t>
  </si>
  <si>
    <t>pw0877132613</t>
  </si>
  <si>
    <t>KI7500452370</t>
  </si>
  <si>
    <t>KI7500625351</t>
  </si>
  <si>
    <t>LE7500739823</t>
  </si>
  <si>
    <t>KS7503752649</t>
  </si>
  <si>
    <t>LE9010519104</t>
  </si>
  <si>
    <t xml:space="preserve">Terminal Status  - Delete DV </t>
  </si>
  <si>
    <t>MN7502944929</t>
  </si>
  <si>
    <t xml:space="preserve">FFO - Delete DV </t>
  </si>
  <si>
    <t>FS7502158114</t>
  </si>
  <si>
    <t>Shahzaib</t>
  </si>
  <si>
    <t>KI7500117470</t>
  </si>
  <si>
    <t xml:space="preserve">Wrong Delete -DV </t>
  </si>
  <si>
    <t>KI7500143943</t>
  </si>
  <si>
    <t>FS7502225607</t>
  </si>
  <si>
    <t>clear</t>
  </si>
  <si>
    <t>KI0877519675</t>
  </si>
  <si>
    <t xml:space="preserve">Deduction cash </t>
  </si>
  <si>
    <t xml:space="preserve">Total Cash </t>
  </si>
  <si>
    <t xml:space="preserve">In Hand cash </t>
  </si>
  <si>
    <t xml:space="preserve">PW0877132613 </t>
  </si>
  <si>
    <t xml:space="preserve"> DV delete </t>
  </si>
  <si>
    <t>fs7502158114</t>
  </si>
  <si>
    <t xml:space="preserve">FFO - DV delete </t>
  </si>
  <si>
    <t>MX0750257323</t>
  </si>
  <si>
    <t xml:space="preserve">Wrong CN/ DV -Assgin Delete </t>
  </si>
  <si>
    <t>Wrong DV- delete</t>
  </si>
  <si>
    <t>MN7502947067</t>
  </si>
  <si>
    <t>MM0192627083</t>
  </si>
  <si>
    <t xml:space="preserve">Wrong Prefix </t>
  </si>
  <si>
    <t>MM0192630695</t>
  </si>
  <si>
    <t>MM0192630707</t>
  </si>
  <si>
    <t>MM0192630586</t>
  </si>
  <si>
    <t>HD9010049316</t>
  </si>
  <si>
    <t>MM9010528283</t>
  </si>
  <si>
    <t>Extra</t>
  </si>
  <si>
    <t>Name</t>
  </si>
  <si>
    <t>AT984981699</t>
  </si>
  <si>
    <t>AT984981692</t>
  </si>
  <si>
    <t>h bagstage 1</t>
  </si>
  <si>
    <t>AT984983818</t>
  </si>
  <si>
    <t>AT984983582</t>
  </si>
  <si>
    <t>AT984983789</t>
  </si>
  <si>
    <t>AT984974397</t>
  </si>
  <si>
    <t>AT984984021</t>
  </si>
  <si>
    <t xml:space="preserve">Signature </t>
  </si>
  <si>
    <t>AT984984225</t>
  </si>
  <si>
    <t>Sultan</t>
  </si>
  <si>
    <t>Shopsider</t>
  </si>
  <si>
    <t xml:space="preserve">mobile accssreis </t>
  </si>
  <si>
    <t>bismillah</t>
  </si>
  <si>
    <t>Ahhmm</t>
  </si>
  <si>
    <t>laluure</t>
  </si>
  <si>
    <t>hn shop</t>
  </si>
  <si>
    <t>heady baggy</t>
  </si>
  <si>
    <t>gry baagy</t>
  </si>
  <si>
    <t>ma Khan</t>
  </si>
  <si>
    <t>dealy dall gaming</t>
  </si>
  <si>
    <t>shazada baya</t>
  </si>
  <si>
    <t>somoot galme</t>
  </si>
  <si>
    <t>ss tarade</t>
  </si>
  <si>
    <t xml:space="preserve">fayaz </t>
  </si>
  <si>
    <t xml:space="preserve">jellery </t>
  </si>
  <si>
    <t xml:space="preserve">umber  flame candle </t>
  </si>
  <si>
    <t xml:space="preserve">enginaer </t>
  </si>
  <si>
    <t>irfan mobile</t>
  </si>
  <si>
    <t xml:space="preserve">herbale </t>
  </si>
  <si>
    <t>tresuer trade</t>
  </si>
  <si>
    <t>sf 76 hoew</t>
  </si>
  <si>
    <t>ravi mart</t>
  </si>
  <si>
    <t xml:space="preserve">kamra </t>
  </si>
  <si>
    <t>AT060449034</t>
  </si>
  <si>
    <t>nails heavan</t>
  </si>
  <si>
    <t>dani trader</t>
  </si>
  <si>
    <t>AT984983979</t>
  </si>
  <si>
    <t>jadeed</t>
  </si>
  <si>
    <t>GPO office move</t>
  </si>
  <si>
    <t xml:space="preserve">zain Courier </t>
  </si>
  <si>
    <t>hassnain</t>
  </si>
  <si>
    <t>CNIC</t>
  </si>
  <si>
    <t>KI7505336394</t>
  </si>
  <si>
    <t>ki7506438047</t>
  </si>
  <si>
    <t>FS7501617199</t>
  </si>
  <si>
    <t>LE7505454837</t>
  </si>
  <si>
    <t>KI7505336040</t>
  </si>
  <si>
    <t>KI7507471097</t>
  </si>
  <si>
    <t>LE7507073478</t>
  </si>
  <si>
    <t>KI7507519004</t>
  </si>
  <si>
    <t>LE7505612450</t>
  </si>
  <si>
    <t>Main Bazaar, ATTOCK , Punjab</t>
  </si>
  <si>
    <t>051-566-522</t>
  </si>
  <si>
    <t xml:space="preserve">BILL TO </t>
  </si>
  <si>
    <t xml:space="preserve">DESCRITION </t>
  </si>
  <si>
    <t xml:space="preserve">AMOUNT </t>
  </si>
  <si>
    <t xml:space="preserve">Subtotal </t>
  </si>
  <si>
    <t xml:space="preserve">Tax rate </t>
  </si>
  <si>
    <t xml:space="preserve">Other </t>
  </si>
  <si>
    <t xml:space="preserve">Total Due </t>
  </si>
  <si>
    <t xml:space="preserve">INVOICE </t>
  </si>
  <si>
    <t>-----------------------</t>
  </si>
  <si>
    <t>---------------------</t>
  </si>
  <si>
    <t>---------------------------------------------------------------------------------</t>
  </si>
  <si>
    <t>mx7506870894</t>
  </si>
  <si>
    <t>ki7505861712</t>
  </si>
  <si>
    <t xml:space="preserve">Courier Name </t>
  </si>
  <si>
    <t>FS7507718267</t>
  </si>
  <si>
    <t>KI7506074031</t>
  </si>
  <si>
    <t>MN7502906748</t>
  </si>
  <si>
    <t>FS7507713292</t>
  </si>
  <si>
    <t>RW7507233003</t>
  </si>
  <si>
    <t>SA7507874010</t>
  </si>
  <si>
    <t>QD7506676702</t>
  </si>
  <si>
    <t>KI7509701476</t>
  </si>
  <si>
    <t>LE7510672416</t>
  </si>
  <si>
    <t>LE7510631630</t>
  </si>
  <si>
    <t>KI7509599203</t>
  </si>
  <si>
    <t>KI7506080702</t>
  </si>
  <si>
    <t>KI7509599150</t>
  </si>
  <si>
    <t xml:space="preserve">Amount less </t>
  </si>
  <si>
    <t xml:space="preserve">Payable </t>
  </si>
  <si>
    <t>KI7505861712</t>
  </si>
  <si>
    <t>MX7506870894</t>
  </si>
  <si>
    <t xml:space="preserve">User Name </t>
  </si>
  <si>
    <t xml:space="preserve">password </t>
  </si>
  <si>
    <t>Alphabet NO</t>
  </si>
  <si>
    <t xml:space="preserve">station </t>
  </si>
  <si>
    <t>tahir.ahmed</t>
  </si>
  <si>
    <t>tahir@123</t>
  </si>
  <si>
    <t>A</t>
  </si>
  <si>
    <t>Abbottabad</t>
  </si>
  <si>
    <t>shahzaib.32286</t>
  </si>
  <si>
    <t>shahzaib@123</t>
  </si>
  <si>
    <t>AHMAD PUR EAST</t>
  </si>
  <si>
    <t>sahir</t>
  </si>
  <si>
    <t>sahir@123</t>
  </si>
  <si>
    <t>B</t>
  </si>
  <si>
    <t>badin</t>
  </si>
  <si>
    <t>DURAIZ.21104</t>
  </si>
  <si>
    <t>DURAIZ@123</t>
  </si>
  <si>
    <t>BAHAWALPUR</t>
  </si>
  <si>
    <t>faizan.38114</t>
  </si>
  <si>
    <t>faizan@123</t>
  </si>
  <si>
    <t>bannu</t>
  </si>
  <si>
    <t>btk</t>
  </si>
  <si>
    <t>btk@123</t>
  </si>
  <si>
    <t>BATKHELA </t>
  </si>
  <si>
    <t>bwl</t>
  </si>
  <si>
    <t>bwl@123</t>
  </si>
  <si>
    <t>BHALWAL </t>
  </si>
  <si>
    <t>bmr</t>
  </si>
  <si>
    <t>bmr@123</t>
  </si>
  <si>
    <t>BHIMBER </t>
  </si>
  <si>
    <t>furqan.24210</t>
  </si>
  <si>
    <t>furqan@123</t>
  </si>
  <si>
    <t>burewala</t>
  </si>
  <si>
    <t>nadeem.ckl </t>
  </si>
  <si>
    <t>nadeem@123</t>
  </si>
  <si>
    <t>C</t>
  </si>
  <si>
    <t xml:space="preserve">Chakwal </t>
  </si>
  <si>
    <t>Mujahid.ctr</t>
  </si>
  <si>
    <t>Mujahid@123</t>
  </si>
  <si>
    <t>CHITRAL </t>
  </si>
  <si>
    <t>ddu</t>
  </si>
  <si>
    <t>ddu@123</t>
  </si>
  <si>
    <t>D</t>
  </si>
  <si>
    <t>dadu</t>
  </si>
  <si>
    <t>arsalan.29047</t>
  </si>
  <si>
    <t>arsalan@123</t>
  </si>
  <si>
    <t>Dera ismail khan</t>
  </si>
  <si>
    <t>dinga</t>
  </si>
  <si>
    <t>dinga@123</t>
  </si>
  <si>
    <t>asif.murad</t>
  </si>
  <si>
    <t>asif@123</t>
  </si>
  <si>
    <t>G</t>
  </si>
  <si>
    <t>GAWADAR </t>
  </si>
  <si>
    <t>Nasir.gt</t>
  </si>
  <si>
    <t>nasir@123</t>
  </si>
  <si>
    <t>Ghotki</t>
  </si>
  <si>
    <t>gkn</t>
  </si>
  <si>
    <t>gkn@123</t>
  </si>
  <si>
    <t xml:space="preserve">gujar khan </t>
  </si>
  <si>
    <t>anosh</t>
  </si>
  <si>
    <t>anosh@123</t>
  </si>
  <si>
    <t>H</t>
  </si>
  <si>
    <t xml:space="preserve">Hub chowki </t>
  </si>
  <si>
    <t>amjad.9174</t>
  </si>
  <si>
    <t>amjad@123</t>
  </si>
  <si>
    <t>I</t>
  </si>
  <si>
    <t>ISB-NORTH (BKU) HUB</t>
  </si>
  <si>
    <t>Faisal.isb</t>
  </si>
  <si>
    <t>Faisal@123</t>
  </si>
  <si>
    <t>ISB-TARNOL-HUB</t>
  </si>
  <si>
    <t>Irfan.isb</t>
  </si>
  <si>
    <t>Irfan@123</t>
  </si>
  <si>
    <t>ISLAMABAD</t>
  </si>
  <si>
    <t>jcb</t>
  </si>
  <si>
    <t>jcb@123</t>
  </si>
  <si>
    <t>J</t>
  </si>
  <si>
    <t>JACOBABAD </t>
  </si>
  <si>
    <t>Farman.Jlm</t>
  </si>
  <si>
    <t>farman@123</t>
  </si>
  <si>
    <t>jhelum</t>
  </si>
  <si>
    <t>faiz</t>
  </si>
  <si>
    <t>faiz@123</t>
  </si>
  <si>
    <t>K</t>
  </si>
  <si>
    <t xml:space="preserve">kamlia </t>
  </si>
  <si>
    <t>unzal.42183</t>
  </si>
  <si>
    <t>unzal@123</t>
  </si>
  <si>
    <t>Karachi DHA</t>
  </si>
  <si>
    <t>krk</t>
  </si>
  <si>
    <t>krk@123</t>
  </si>
  <si>
    <t>Kark</t>
  </si>
  <si>
    <t>Azan.42357</t>
  </si>
  <si>
    <t>azan@123</t>
  </si>
  <si>
    <t>KHI-EAST (MALIR) HUB</t>
  </si>
  <si>
    <t>usman.lhk</t>
  </si>
  <si>
    <t>usman@123</t>
  </si>
  <si>
    <t>KHI-SOUTH (LHK) HUB</t>
  </si>
  <si>
    <t>farhan.34942</t>
  </si>
  <si>
    <t>farhan@123</t>
  </si>
  <si>
    <t>KHI-WEST (Tower) HUB</t>
  </si>
  <si>
    <t>HAMZA.TWR</t>
  </si>
  <si>
    <t>hamza@123</t>
  </si>
  <si>
    <t>a.khaliq</t>
  </si>
  <si>
    <t>khaliq@123</t>
  </si>
  <si>
    <t>khuzdar</t>
  </si>
  <si>
    <t>hassan.11609</t>
  </si>
  <si>
    <t>hassan@123</t>
  </si>
  <si>
    <t xml:space="preserve">kohat </t>
  </si>
  <si>
    <t>ktl</t>
  </si>
  <si>
    <t>ktl@123</t>
  </si>
  <si>
    <t>KOTLI (A. K)</t>
  </si>
  <si>
    <t>SAAD.30305</t>
  </si>
  <si>
    <t>saad@123</t>
  </si>
  <si>
    <t>k</t>
  </si>
  <si>
    <t>aijaz.30974</t>
  </si>
  <si>
    <t>aijaz@123</t>
  </si>
  <si>
    <t>L</t>
  </si>
  <si>
    <t>Larkana</t>
  </si>
  <si>
    <t>danish</t>
  </si>
  <si>
    <t>danish@123</t>
  </si>
  <si>
    <t>mussadiq.27102</t>
  </si>
  <si>
    <t>mussadiq@123</t>
  </si>
  <si>
    <t>LIAQATPUR </t>
  </si>
  <si>
    <t>IRFAN.mrd</t>
  </si>
  <si>
    <t>irfan@123</t>
  </si>
  <si>
    <t>M</t>
  </si>
  <si>
    <t xml:space="preserve">Mardan </t>
  </si>
  <si>
    <t>ghouse.1956</t>
  </si>
  <si>
    <t>ghouse@123</t>
  </si>
  <si>
    <t xml:space="preserve">Mian channu </t>
  </si>
  <si>
    <t>mre</t>
  </si>
  <si>
    <t>mre@123</t>
  </si>
  <si>
    <t>Muree</t>
  </si>
  <si>
    <t>aqeel.24766</t>
  </si>
  <si>
    <t>aqeel@123</t>
  </si>
  <si>
    <t>N</t>
  </si>
  <si>
    <t>narowal</t>
  </si>
  <si>
    <t>nowshera</t>
  </si>
  <si>
    <t>nowshera@123</t>
  </si>
  <si>
    <t>ghulam.murtaza</t>
  </si>
  <si>
    <t>murtaza@123</t>
  </si>
  <si>
    <t>NOWSHERO FEROZ</t>
  </si>
  <si>
    <t>awh</t>
  </si>
  <si>
    <t>awh@123</t>
  </si>
  <si>
    <t>R</t>
  </si>
  <si>
    <t>RABWA (CHINAB NAGAR)</t>
  </si>
  <si>
    <t>Shafiq.41423</t>
  </si>
  <si>
    <t>Shafiq@123</t>
  </si>
  <si>
    <t>Rawat</t>
  </si>
  <si>
    <t>ayaz.ahmed</t>
  </si>
  <si>
    <t>ayaz@123</t>
  </si>
  <si>
    <t>S</t>
  </si>
  <si>
    <t>SANGHAR </t>
  </si>
  <si>
    <t>danish.25218</t>
  </si>
  <si>
    <t xml:space="preserve">sargodha </t>
  </si>
  <si>
    <t>haroon.sgd</t>
  </si>
  <si>
    <t>haroon@123</t>
  </si>
  <si>
    <t>aijaz.1048</t>
  </si>
  <si>
    <t>shahdadkot</t>
  </si>
  <si>
    <t>ahmad.41662</t>
  </si>
  <si>
    <t>ahmad@123</t>
  </si>
  <si>
    <t>shahkot</t>
  </si>
  <si>
    <t>anas.35312</t>
  </si>
  <si>
    <t>anas@123</t>
  </si>
  <si>
    <t>sukkuar</t>
  </si>
  <si>
    <t>adil.mgr</t>
  </si>
  <si>
    <t>adil@123</t>
  </si>
  <si>
    <t>sukkuar hub</t>
  </si>
  <si>
    <t>muntazir.swi</t>
  </si>
  <si>
    <t>muntazir@123</t>
  </si>
  <si>
    <t>Swabi</t>
  </si>
  <si>
    <t xml:space="preserve">tdj </t>
  </si>
  <si>
    <t>tdj@123</t>
  </si>
  <si>
    <t>T</t>
  </si>
  <si>
    <t xml:space="preserve">TANDO JAM </t>
  </si>
  <si>
    <t>haji.khan</t>
  </si>
  <si>
    <t>khan@123</t>
  </si>
  <si>
    <t>THATTA</t>
  </si>
  <si>
    <t>CN Number</t>
  </si>
  <si>
    <t>Assign Date</t>
  </si>
  <si>
    <t>LE7510767596</t>
  </si>
  <si>
    <t>RW0060867252</t>
  </si>
  <si>
    <t>LE7510789583</t>
  </si>
  <si>
    <t>LE7510747559</t>
  </si>
  <si>
    <t>ID7512678439</t>
  </si>
  <si>
    <t>LE9011887355</t>
  </si>
  <si>
    <t>LE9011891183</t>
  </si>
  <si>
    <t>ID7512680130</t>
  </si>
  <si>
    <t>LE7510762210</t>
  </si>
  <si>
    <t>LE9011880287</t>
  </si>
  <si>
    <t>ID9011552437</t>
  </si>
  <si>
    <t>FS9011904748</t>
  </si>
  <si>
    <t>LE9011890567</t>
  </si>
  <si>
    <t>KI9011887965</t>
  </si>
  <si>
    <t>KI7509838089</t>
  </si>
  <si>
    <t>LE9011885581</t>
  </si>
  <si>
    <t>LE7510752813</t>
  </si>
  <si>
    <t>KI9011888679</t>
  </si>
  <si>
    <t>LE9011889257</t>
  </si>
  <si>
    <t>ID9011552501</t>
  </si>
  <si>
    <t>FS9011879742</t>
  </si>
  <si>
    <t>LE7510752432</t>
  </si>
  <si>
    <t>KI7509829839</t>
  </si>
  <si>
    <t>LE9011868769</t>
  </si>
  <si>
    <t>MX9011903335</t>
  </si>
  <si>
    <t>KI7509875269</t>
  </si>
  <si>
    <t>ID7512682658</t>
  </si>
  <si>
    <t>KI9011867543</t>
  </si>
  <si>
    <t>LE9011886610</t>
  </si>
  <si>
    <t>KI9011887725</t>
  </si>
  <si>
    <t>LE9011896281</t>
  </si>
  <si>
    <t>KI7509853902</t>
  </si>
  <si>
    <t>LE7510722207</t>
  </si>
  <si>
    <t>FS7511900587</t>
  </si>
  <si>
    <t>FS9011892136</t>
  </si>
  <si>
    <t>FS7511865299</t>
  </si>
  <si>
    <t>LE7510767576</t>
  </si>
  <si>
    <t>LE7510757910</t>
  </si>
  <si>
    <t>SR7503822647</t>
  </si>
  <si>
    <t>KI7507413245</t>
  </si>
  <si>
    <t>LE7510771696</t>
  </si>
  <si>
    <t>RN9011907603</t>
  </si>
  <si>
    <t>RN9011913308</t>
  </si>
  <si>
    <t>RN9011899616</t>
  </si>
  <si>
    <t>MG7507555526</t>
  </si>
  <si>
    <t>RN9011908499</t>
  </si>
  <si>
    <t>BA7507934551</t>
  </si>
  <si>
    <t>GW9011901936</t>
  </si>
  <si>
    <t>LE7510772465</t>
  </si>
  <si>
    <t>SA9011886812</t>
  </si>
  <si>
    <t>RN9011903048</t>
  </si>
  <si>
    <t>RN9011904268</t>
  </si>
  <si>
    <t>FS7511908346</t>
  </si>
  <si>
    <t>KI9011868735</t>
  </si>
  <si>
    <t>KI9011893974</t>
  </si>
  <si>
    <t>MN7513071164</t>
  </si>
  <si>
    <t>KI9011889439</t>
  </si>
  <si>
    <t>LE7510746862</t>
  </si>
  <si>
    <t>LE7510759674</t>
  </si>
  <si>
    <t>KI9011886262</t>
  </si>
  <si>
    <t>QD7513655020</t>
  </si>
  <si>
    <t>ID9011551294</t>
  </si>
  <si>
    <t>LE0060853229</t>
  </si>
  <si>
    <t>KI9011887462</t>
  </si>
  <si>
    <t>LE9011895500</t>
  </si>
  <si>
    <t>FS9011894713</t>
  </si>
  <si>
    <t>KI9011896332</t>
  </si>
  <si>
    <t>RW7507253429</t>
  </si>
  <si>
    <t>LE7510755032</t>
  </si>
  <si>
    <t>KI7507415540</t>
  </si>
  <si>
    <t>KI7509871726</t>
  </si>
  <si>
    <t>LE9011879817</t>
  </si>
  <si>
    <t>FS7511905726</t>
  </si>
  <si>
    <t>KI9011889580</t>
  </si>
  <si>
    <t>KI7509901277</t>
  </si>
  <si>
    <t>ID9011552352</t>
  </si>
  <si>
    <t>KI7509762058</t>
  </si>
  <si>
    <t>LE7510753859</t>
  </si>
  <si>
    <t>KI9011891094</t>
  </si>
  <si>
    <t>LE7510767152</t>
  </si>
  <si>
    <t>KI9011887461</t>
  </si>
  <si>
    <t>ID9011552514</t>
  </si>
  <si>
    <t>KI9011896423</t>
  </si>
  <si>
    <t>ID9011552357</t>
  </si>
  <si>
    <t>FS9011901574</t>
  </si>
  <si>
    <t>LE7510766317</t>
  </si>
  <si>
    <t>LE9011884969</t>
  </si>
  <si>
    <t>FS7512336401</t>
  </si>
  <si>
    <t>KI9011891125</t>
  </si>
  <si>
    <t>SL9011898275</t>
  </si>
  <si>
    <t>KI7509854277</t>
  </si>
  <si>
    <t>ID7512682555</t>
  </si>
  <si>
    <t>ID7512680982</t>
  </si>
  <si>
    <t>FS9011895858</t>
  </si>
  <si>
    <t>KI7509872066</t>
  </si>
  <si>
    <t>KI9011889088</t>
  </si>
  <si>
    <t>LE7510728983</t>
  </si>
  <si>
    <t>LE7510765272</t>
  </si>
  <si>
    <t>MX9011845005</t>
  </si>
  <si>
    <t>FS9011898475</t>
  </si>
  <si>
    <t>DI7503925511</t>
  </si>
  <si>
    <t>KI7509869966</t>
  </si>
  <si>
    <t>KI7509873275</t>
  </si>
  <si>
    <t>KI7507410535</t>
  </si>
  <si>
    <t>FS7511884445</t>
  </si>
  <si>
    <t>LE9011898165</t>
  </si>
  <si>
    <t>KI7509903543</t>
  </si>
  <si>
    <t>FS7511909475</t>
  </si>
  <si>
    <t>MG7507556226</t>
  </si>
  <si>
    <t>LE9011897922</t>
  </si>
  <si>
    <t>MX7512992832</t>
  </si>
  <si>
    <t>ID9011553453</t>
  </si>
  <si>
    <t>SW7503064960</t>
  </si>
  <si>
    <t>ST7504428780</t>
  </si>
  <si>
    <t>KI9011908670</t>
  </si>
  <si>
    <t>KI7509906941</t>
  </si>
  <si>
    <t>LE9011905046</t>
  </si>
  <si>
    <t>KI7509767359</t>
  </si>
  <si>
    <t>FS7511848960</t>
  </si>
  <si>
    <t>KI7509919072</t>
  </si>
  <si>
    <t>KI9011887094</t>
  </si>
  <si>
    <t>KI9011846802</t>
  </si>
  <si>
    <t>KI9011895004</t>
  </si>
  <si>
    <t>KA7513704415</t>
  </si>
  <si>
    <t>LE7510771462</t>
  </si>
  <si>
    <t>ID9011909032</t>
  </si>
  <si>
    <t>KI7509904236</t>
  </si>
  <si>
    <t>LE9011902976</t>
  </si>
  <si>
    <t>LE9011897148</t>
  </si>
  <si>
    <t>SL9011739562</t>
  </si>
  <si>
    <t>PW7513538134</t>
  </si>
  <si>
    <t>KI9011898835</t>
  </si>
  <si>
    <t>KI9011898671</t>
  </si>
  <si>
    <t>LE9011892637</t>
  </si>
  <si>
    <t>ID9011553426</t>
  </si>
  <si>
    <t>KI9011891859</t>
  </si>
  <si>
    <t>KI7509904081</t>
  </si>
  <si>
    <t>SL9011909917</t>
  </si>
  <si>
    <t>RW0060876039</t>
  </si>
  <si>
    <t>KI9011898513</t>
  </si>
  <si>
    <t>PW9011895434</t>
  </si>
  <si>
    <t>ID7512685447</t>
  </si>
  <si>
    <t>ID9011902930</t>
  </si>
  <si>
    <t>LE9011893856</t>
  </si>
  <si>
    <t>ID9011901605</t>
  </si>
  <si>
    <t>ID9011904520</t>
  </si>
  <si>
    <t>NW7504063817</t>
  </si>
  <si>
    <t>KI9011898577</t>
  </si>
  <si>
    <t>KI9011897725</t>
  </si>
  <si>
    <t>KI9011884748</t>
  </si>
  <si>
    <t>KI9011879713</t>
  </si>
  <si>
    <t>ID9011911477</t>
  </si>
  <si>
    <t>SA7507880050</t>
  </si>
  <si>
    <t>KI7507416384</t>
  </si>
  <si>
    <t>KI7509911180</t>
  </si>
  <si>
    <t>KI9011888999</t>
  </si>
  <si>
    <t>KI9011903285</t>
  </si>
  <si>
    <t>ID9011551904</t>
  </si>
  <si>
    <t>SW7503064993</t>
  </si>
  <si>
    <t>SA7506946406</t>
  </si>
  <si>
    <t>KI9011893114</t>
  </si>
  <si>
    <t>FS7511920044</t>
  </si>
  <si>
    <t>KI9011900778</t>
  </si>
  <si>
    <t>KI7509925791</t>
  </si>
  <si>
    <t>MX9011856737</t>
  </si>
  <si>
    <t>KI9011891991</t>
  </si>
  <si>
    <t>KI9011897249</t>
  </si>
  <si>
    <t>FS7511906564</t>
  </si>
  <si>
    <t>LE7510774200</t>
  </si>
  <si>
    <t>LE9011894682</t>
  </si>
  <si>
    <t>LE9011908369</t>
  </si>
  <si>
    <t>LE7510747223</t>
  </si>
  <si>
    <t>LE9011889017</t>
  </si>
  <si>
    <t>LE9011898426</t>
  </si>
  <si>
    <t>SL9011912948</t>
  </si>
  <si>
    <t>KI7509928851</t>
  </si>
  <si>
    <t>LE7510776895</t>
  </si>
  <si>
    <t>KI7509914937</t>
  </si>
  <si>
    <t>LE9011894632</t>
  </si>
  <si>
    <t>RW0060875035</t>
  </si>
  <si>
    <t>KI9011908207</t>
  </si>
  <si>
    <t>KI9011892259</t>
  </si>
  <si>
    <t>PW9011901283</t>
  </si>
  <si>
    <t>KI9011878787</t>
  </si>
  <si>
    <t>LE9011902227</t>
  </si>
  <si>
    <t>KI9011894373</t>
  </si>
  <si>
    <t>MN7513071607</t>
  </si>
  <si>
    <t>SA7506945573</t>
  </si>
  <si>
    <t>KI7509912193</t>
  </si>
  <si>
    <t>KI9011892204</t>
  </si>
  <si>
    <t>LE9011896183</t>
  </si>
  <si>
    <t>LE7510763070</t>
  </si>
  <si>
    <t>MX7512954646</t>
  </si>
  <si>
    <t>FS7511907784</t>
  </si>
  <si>
    <t>SL7506698858</t>
  </si>
  <si>
    <t>KS7503748155</t>
  </si>
  <si>
    <t>FS7511905406</t>
  </si>
  <si>
    <t>LE7510800275</t>
  </si>
  <si>
    <t>FS9011894711</t>
  </si>
  <si>
    <t>ID9011917612</t>
  </si>
  <si>
    <t>ID9012104516</t>
  </si>
  <si>
    <t>LE7508285419</t>
  </si>
  <si>
    <t>LE9011882460</t>
  </si>
  <si>
    <t>KI7509925774</t>
  </si>
  <si>
    <t>RN9012101911</t>
  </si>
  <si>
    <t>MX9011909919</t>
  </si>
  <si>
    <t>KI9011893115</t>
  </si>
  <si>
    <t>FS7511932743</t>
  </si>
  <si>
    <t>LE7510756178</t>
  </si>
  <si>
    <t>FS9011885999</t>
  </si>
  <si>
    <t>KI9011888942</t>
  </si>
  <si>
    <t>KI7509953112</t>
  </si>
  <si>
    <t>KI9011903030</t>
  </si>
  <si>
    <t>LE9011902011</t>
  </si>
  <si>
    <t>SW9011919380</t>
  </si>
  <si>
    <t>SL7506697740</t>
  </si>
  <si>
    <t>KI9011903025</t>
  </si>
  <si>
    <t>LE9011894275</t>
  </si>
  <si>
    <t>LE9011912366</t>
  </si>
  <si>
    <t>FS7511928153</t>
  </si>
  <si>
    <t>ID9011903920</t>
  </si>
  <si>
    <t>LE9011891522</t>
  </si>
  <si>
    <t>FS7511888951</t>
  </si>
  <si>
    <t>JR9011743870</t>
  </si>
  <si>
    <t>MX9012100696</t>
  </si>
  <si>
    <t>MX7512970750</t>
  </si>
  <si>
    <t>JM7513936583</t>
  </si>
  <si>
    <t>LE0060855244</t>
  </si>
  <si>
    <t>FS9012102860</t>
  </si>
  <si>
    <t>AB9011908076</t>
  </si>
  <si>
    <t>FS7511924635</t>
  </si>
  <si>
    <t>ID9012100836</t>
  </si>
  <si>
    <t>FS7511922066</t>
  </si>
  <si>
    <t>ID9011899035</t>
  </si>
  <si>
    <t>LE7510777226</t>
  </si>
  <si>
    <t>GW7507915682</t>
  </si>
  <si>
    <t>FS7511900272</t>
  </si>
  <si>
    <t>WC7506793442</t>
  </si>
  <si>
    <t>ID9011915259</t>
  </si>
  <si>
    <t>SL7508017371</t>
  </si>
  <si>
    <t>KI7509878738</t>
  </si>
  <si>
    <t>FS7511929010</t>
  </si>
  <si>
    <t>AM7513828576</t>
  </si>
  <si>
    <t>MX7512992568</t>
  </si>
  <si>
    <t>FS7512339075</t>
  </si>
  <si>
    <t>KI9011880425</t>
  </si>
  <si>
    <t>KI7509863529</t>
  </si>
  <si>
    <t>PW7513540121</t>
  </si>
  <si>
    <t>FS7511914179</t>
  </si>
  <si>
    <t>FS7511908316</t>
  </si>
  <si>
    <t>LE7501229771</t>
  </si>
  <si>
    <t>KI7509931010</t>
  </si>
  <si>
    <t>ID9011551901</t>
  </si>
  <si>
    <t>KI7509868146</t>
  </si>
  <si>
    <t>LE7510802016</t>
  </si>
  <si>
    <t>KI7509942113</t>
  </si>
  <si>
    <t>FS7511932623</t>
  </si>
  <si>
    <t>MG7507556618</t>
  </si>
  <si>
    <t>ID9011918877</t>
  </si>
  <si>
    <t>KI7509938366</t>
  </si>
  <si>
    <t>LE7508276181</t>
  </si>
  <si>
    <t>SA7506950159</t>
  </si>
  <si>
    <t>AM7513828781</t>
  </si>
  <si>
    <t>FS7511892569</t>
  </si>
  <si>
    <t xml:space="preserve">Short </t>
  </si>
  <si>
    <t>Hold ATK At 25-09-25</t>
  </si>
  <si>
    <t>MX9011821813</t>
  </si>
  <si>
    <t xml:space="preserve">Final Remarks </t>
  </si>
  <si>
    <t>Checking Bar 4</t>
  </si>
  <si>
    <t>AB9011899184</t>
  </si>
  <si>
    <t>BW7502771691</t>
  </si>
  <si>
    <t>DA7507834207</t>
  </si>
  <si>
    <t>FS7511918912</t>
  </si>
  <si>
    <t>FS7511922121</t>
  </si>
  <si>
    <t>FS7511924209</t>
  </si>
  <si>
    <t>FS7511943069</t>
  </si>
  <si>
    <t>FS7511943532</t>
  </si>
  <si>
    <t>FS7512321862</t>
  </si>
  <si>
    <t>FS7512345043</t>
  </si>
  <si>
    <t>FS9011917654</t>
  </si>
  <si>
    <t>FS9012104314</t>
  </si>
  <si>
    <t>FS9012104673</t>
  </si>
  <si>
    <t>FS9012110625</t>
  </si>
  <si>
    <t>GW9012112276</t>
  </si>
  <si>
    <t>HD7506780549</t>
  </si>
  <si>
    <t>HD7506781755</t>
  </si>
  <si>
    <t>HD9011917101</t>
  </si>
  <si>
    <t>ID7512679498</t>
  </si>
  <si>
    <t>ID9012105504</t>
  </si>
  <si>
    <t>ID9012105980</t>
  </si>
  <si>
    <t>ID9012108216</t>
  </si>
  <si>
    <t>JD7504339279</t>
  </si>
  <si>
    <t>JR7513620302</t>
  </si>
  <si>
    <t>KI7500665545</t>
  </si>
  <si>
    <t>KI7500665840</t>
  </si>
  <si>
    <t>KI7500668381</t>
  </si>
  <si>
    <t>KI7509853281</t>
  </si>
  <si>
    <t>KI7509896759</t>
  </si>
  <si>
    <t>KI7509901079</t>
  </si>
  <si>
    <t>KI7509925465</t>
  </si>
  <si>
    <t>KI7509935473</t>
  </si>
  <si>
    <t>KI7509960776</t>
  </si>
  <si>
    <t>KI7509962146</t>
  </si>
  <si>
    <t>KI7509967598</t>
  </si>
  <si>
    <t>KI7509971995</t>
  </si>
  <si>
    <t>KI7509972096</t>
  </si>
  <si>
    <t>KI7509979186</t>
  </si>
  <si>
    <t>KI7509982026</t>
  </si>
  <si>
    <t>KI7509982254</t>
  </si>
  <si>
    <t>KI7509982575</t>
  </si>
  <si>
    <t>KI7509984416</t>
  </si>
  <si>
    <t>KI7509986843</t>
  </si>
  <si>
    <t>KI7509989130</t>
  </si>
  <si>
    <t>KI7509992056</t>
  </si>
  <si>
    <t>KI7509993255</t>
  </si>
  <si>
    <t>KI7509993509</t>
  </si>
  <si>
    <t>KI9011895601</t>
  </si>
  <si>
    <t>KI9011908574</t>
  </si>
  <si>
    <t>KI9011909046</t>
  </si>
  <si>
    <t>KI9011910021</t>
  </si>
  <si>
    <t>KI9011911739</t>
  </si>
  <si>
    <t>KI9011914001</t>
  </si>
  <si>
    <t>KI9011914270</t>
  </si>
  <si>
    <t>KI9011915656</t>
  </si>
  <si>
    <t>KI9011915735</t>
  </si>
  <si>
    <t>KI9011915736</t>
  </si>
  <si>
    <t>KI9011915737</t>
  </si>
  <si>
    <t>KI9011916512</t>
  </si>
  <si>
    <t>KI9011916990</t>
  </si>
  <si>
    <t>KI9011918589</t>
  </si>
  <si>
    <t>KI9011918704</t>
  </si>
  <si>
    <t>KI9011918888</t>
  </si>
  <si>
    <t>KI9011918986</t>
  </si>
  <si>
    <t>KI9011919068</t>
  </si>
  <si>
    <t>KI9011919362</t>
  </si>
  <si>
    <t>KI9012102810</t>
  </si>
  <si>
    <t>KP7508550340</t>
  </si>
  <si>
    <t>LE7508276868</t>
  </si>
  <si>
    <t>LE7508278663</t>
  </si>
  <si>
    <t>LE7508282321</t>
  </si>
  <si>
    <t>LE7510773839</t>
  </si>
  <si>
    <t>LE7510781165</t>
  </si>
  <si>
    <t>LE7510801228</t>
  </si>
  <si>
    <t>LE7510804780</t>
  </si>
  <si>
    <t>LE9011879471</t>
  </si>
  <si>
    <t>LE9011886787</t>
  </si>
  <si>
    <t>LE9011887504</t>
  </si>
  <si>
    <t>LE9011888771</t>
  </si>
  <si>
    <t>LE9011893828</t>
  </si>
  <si>
    <t>LE9011898516</t>
  </si>
  <si>
    <t>LE9011900454</t>
  </si>
  <si>
    <t>LE9011902186</t>
  </si>
  <si>
    <t>LE9011904092</t>
  </si>
  <si>
    <t>LE9011904847</t>
  </si>
  <si>
    <t>LE9011904926</t>
  </si>
  <si>
    <t>LE9011906904</t>
  </si>
  <si>
    <t>LE9011907898</t>
  </si>
  <si>
    <t>LE9011909199</t>
  </si>
  <si>
    <t>LE9011909480</t>
  </si>
  <si>
    <t>LE9011911394</t>
  </si>
  <si>
    <t>LE9011911474</t>
  </si>
  <si>
    <t>LE9011911995</t>
  </si>
  <si>
    <t>LE9011912034</t>
  </si>
  <si>
    <t>LE9011912037</t>
  </si>
  <si>
    <t>LE9011912058</t>
  </si>
  <si>
    <t>MN7513073273</t>
  </si>
  <si>
    <t>MX7512973034</t>
  </si>
  <si>
    <t>MX7512974018</t>
  </si>
  <si>
    <t>MX9011899384</t>
  </si>
  <si>
    <t>MX9012106891</t>
  </si>
  <si>
    <t>PW7513540463</t>
  </si>
  <si>
    <t>RW7507258129</t>
  </si>
  <si>
    <t>RW7507259095</t>
  </si>
  <si>
    <t>RW7507259247</t>
  </si>
  <si>
    <t>RW7512711891</t>
  </si>
  <si>
    <t>SZ9011901495</t>
  </si>
  <si>
    <t>Hold ATK At 26-09-25</t>
  </si>
  <si>
    <t>SL7506698797</t>
  </si>
  <si>
    <t>506698797</t>
  </si>
  <si>
    <t xml:space="preserve">Wrong / DV - Delete </t>
  </si>
  <si>
    <t>KI7509981415</t>
  </si>
  <si>
    <t>KI9011836725</t>
  </si>
  <si>
    <t>LE7508294840</t>
  </si>
  <si>
    <t>KI7509969417</t>
  </si>
  <si>
    <t>LE9011917476</t>
  </si>
  <si>
    <t>ID9012111206</t>
  </si>
  <si>
    <t>LE9011916205</t>
  </si>
  <si>
    <t>RW7507262136</t>
  </si>
  <si>
    <t>LE7508287424</t>
  </si>
  <si>
    <t>KI7509961778</t>
  </si>
  <si>
    <t>LE9011912410</t>
  </si>
  <si>
    <t>LE9012105031</t>
  </si>
  <si>
    <t>RN9012108966</t>
  </si>
  <si>
    <t>FS7511950596</t>
  </si>
  <si>
    <t>FS7511944000</t>
  </si>
  <si>
    <t>LE9012112448</t>
  </si>
  <si>
    <t>LE9011883308</t>
  </si>
  <si>
    <t>KI7510008834</t>
  </si>
  <si>
    <t>KI7510008622</t>
  </si>
  <si>
    <t>LE7508282330</t>
  </si>
  <si>
    <t>LE9011913688</t>
  </si>
  <si>
    <t>LE7508302926</t>
  </si>
  <si>
    <t>LE9011900626</t>
  </si>
  <si>
    <t>KI7509991836</t>
  </si>
  <si>
    <t>LE7508299093</t>
  </si>
  <si>
    <t>FS7511922876</t>
  </si>
  <si>
    <t>LE9012101149</t>
  </si>
  <si>
    <t>ID9012108328</t>
  </si>
  <si>
    <t>NO7513656505</t>
  </si>
  <si>
    <t>MX9012115821</t>
  </si>
  <si>
    <t>KI7509968949</t>
  </si>
  <si>
    <t>FS7511938454</t>
  </si>
  <si>
    <t>FS7512346680</t>
  </si>
  <si>
    <t>KI7510009300</t>
  </si>
  <si>
    <t>RW7507259073</t>
  </si>
  <si>
    <t>MN7513071041</t>
  </si>
  <si>
    <t>KI9011913791</t>
  </si>
  <si>
    <t>LE9011868615</t>
  </si>
  <si>
    <t>KI7509966004</t>
  </si>
  <si>
    <t>KI7509988837</t>
  </si>
  <si>
    <t>KI7509945891</t>
  </si>
  <si>
    <t>FS7511950937</t>
  </si>
  <si>
    <t>KI9012107149</t>
  </si>
  <si>
    <t>GW9012113234</t>
  </si>
  <si>
    <t>LE7508294891</t>
  </si>
  <si>
    <t>KI7509876848</t>
  </si>
  <si>
    <t>KI7509996573</t>
  </si>
  <si>
    <t>LE7508306393</t>
  </si>
  <si>
    <t>FS7512346679</t>
  </si>
  <si>
    <t>ID7507823157</t>
  </si>
  <si>
    <t>KI7509897099</t>
  </si>
  <si>
    <t>KI7509954380</t>
  </si>
  <si>
    <t>MB7503763570</t>
  </si>
  <si>
    <t>LE7508281219</t>
  </si>
  <si>
    <t>SA7514128002</t>
  </si>
  <si>
    <t>LE9011917745</t>
  </si>
  <si>
    <t>LE9012108019</t>
  </si>
  <si>
    <t>KI9011901800</t>
  </si>
  <si>
    <t>SZ7513629128</t>
  </si>
  <si>
    <t>RN9012111019</t>
  </si>
  <si>
    <t>KI9012107464</t>
  </si>
  <si>
    <t>KI9011906732</t>
  </si>
  <si>
    <t>FS7511940331</t>
  </si>
  <si>
    <t>LE9012104618</t>
  </si>
  <si>
    <t>LE7508293730</t>
  </si>
  <si>
    <t>KI7500668198</t>
  </si>
  <si>
    <t>KI7509970267</t>
  </si>
  <si>
    <t>KI7509982341</t>
  </si>
  <si>
    <t>GW9012106025</t>
  </si>
  <si>
    <t>KI7509942468</t>
  </si>
  <si>
    <t>LE9011900756</t>
  </si>
  <si>
    <t>KI9011911194</t>
  </si>
  <si>
    <t>LE7508292189</t>
  </si>
  <si>
    <t>KI9011904550</t>
  </si>
  <si>
    <t>MM7505085696</t>
  </si>
  <si>
    <t>LE9012100855</t>
  </si>
  <si>
    <t>KI9011910496</t>
  </si>
  <si>
    <t>KI7510000939</t>
  </si>
  <si>
    <t>KI7509999346</t>
  </si>
  <si>
    <t>KI9011903628</t>
  </si>
  <si>
    <t>LE9011916975</t>
  </si>
  <si>
    <t>KI9011904649</t>
  </si>
  <si>
    <t>GW9012121134</t>
  </si>
  <si>
    <t>KI9012100271</t>
  </si>
  <si>
    <t>KI9011919361</t>
  </si>
  <si>
    <t>LE7508289487</t>
  </si>
  <si>
    <t>KI9011917989</t>
  </si>
  <si>
    <t>KI9011913715</t>
  </si>
  <si>
    <t>KI9011894063</t>
  </si>
  <si>
    <t>KI9012103810</t>
  </si>
  <si>
    <t>LE7508286433</t>
  </si>
  <si>
    <t>LE9011919028</t>
  </si>
  <si>
    <t>KI9012106089</t>
  </si>
  <si>
    <t>KI7510018714</t>
  </si>
  <si>
    <t>LE7508295568</t>
  </si>
  <si>
    <t>GW9012106149</t>
  </si>
  <si>
    <t>KI9011909112</t>
  </si>
  <si>
    <t>KI9011903757</t>
  </si>
  <si>
    <t>WC9011749215</t>
  </si>
  <si>
    <t>LE9012106602</t>
  </si>
  <si>
    <t>KI9011913179</t>
  </si>
  <si>
    <t>KI9011904508</t>
  </si>
  <si>
    <t>KI9011905907</t>
  </si>
  <si>
    <t>KI9011908815</t>
  </si>
  <si>
    <t>PW7513539872</t>
  </si>
  <si>
    <t>GW9011752117</t>
  </si>
  <si>
    <t>LE7508296278</t>
  </si>
  <si>
    <t>KI7510011713</t>
  </si>
  <si>
    <t>JR9011753937</t>
  </si>
  <si>
    <t>LE7508276382</t>
  </si>
  <si>
    <t>SA7506949724</t>
  </si>
  <si>
    <t>KI9011911950</t>
  </si>
  <si>
    <t>LE9012109815</t>
  </si>
  <si>
    <t>KI7510006577</t>
  </si>
  <si>
    <t>KI9011908115</t>
  </si>
  <si>
    <t>KI7509932294</t>
  </si>
  <si>
    <t>LE9011902131</t>
  </si>
  <si>
    <t>KI7510013951</t>
  </si>
  <si>
    <t>KI9012105672</t>
  </si>
  <si>
    <t>KI7509989174</t>
  </si>
  <si>
    <t>Hold ATK At 27-09-25</t>
  </si>
  <si>
    <t>ID9012105158</t>
  </si>
  <si>
    <t>RN9011912118</t>
  </si>
  <si>
    <t>MX7512966332</t>
  </si>
  <si>
    <t>FS7511950175</t>
  </si>
  <si>
    <t>ID9011555448</t>
  </si>
  <si>
    <t>LE9012116854</t>
  </si>
  <si>
    <t>KI9012110896</t>
  </si>
  <si>
    <t>LE9012105261</t>
  </si>
  <si>
    <t>LO7504251917</t>
  </si>
  <si>
    <t>FS9012122901</t>
  </si>
  <si>
    <t>KI7510005803</t>
  </si>
  <si>
    <t>NO0060805427</t>
  </si>
  <si>
    <t>KI7510065477</t>
  </si>
  <si>
    <t>LE9012111479</t>
  </si>
  <si>
    <t>KI9012110567</t>
  </si>
  <si>
    <t>MX9012126105</t>
  </si>
  <si>
    <t>ID9011555661</t>
  </si>
  <si>
    <t>SP9011901635</t>
  </si>
  <si>
    <t>FS7511962655</t>
  </si>
  <si>
    <t>KI7509989375</t>
  </si>
  <si>
    <t>FS9012126085</t>
  </si>
  <si>
    <t>KI7509940100</t>
  </si>
  <si>
    <t>ID9011915868</t>
  </si>
  <si>
    <t>LE7508311280</t>
  </si>
  <si>
    <t>LE9012115758</t>
  </si>
  <si>
    <t>JD7504339503</t>
  </si>
  <si>
    <t>KI7510024477</t>
  </si>
  <si>
    <t>KI9012102050</t>
  </si>
  <si>
    <t>FS9012126022</t>
  </si>
  <si>
    <t>KI9012111528</t>
  </si>
  <si>
    <t>ID9011554949</t>
  </si>
  <si>
    <t>LE9011891580</t>
  </si>
  <si>
    <t>FS9012119722</t>
  </si>
  <si>
    <t>KI9011913136</t>
  </si>
  <si>
    <t>SP7506747229</t>
  </si>
  <si>
    <t>LE9012102493</t>
  </si>
  <si>
    <t>KI9012130467</t>
  </si>
  <si>
    <t>FS7511922408</t>
  </si>
  <si>
    <t>LE9011917118</t>
  </si>
  <si>
    <t>KI9012114461</t>
  </si>
  <si>
    <t>KI9011905390</t>
  </si>
  <si>
    <t>KI9011908293</t>
  </si>
  <si>
    <t>ID7507824891</t>
  </si>
  <si>
    <t>ID9011553784</t>
  </si>
  <si>
    <t>FS7511952562</t>
  </si>
  <si>
    <t>KI7510011935</t>
  </si>
  <si>
    <t>MX7512974354</t>
  </si>
  <si>
    <t>LE9012102465</t>
  </si>
  <si>
    <t>KI9012119924</t>
  </si>
  <si>
    <t>DG9011743887</t>
  </si>
  <si>
    <t>KI9012111301</t>
  </si>
  <si>
    <t>FS9012112057</t>
  </si>
  <si>
    <t>LE9012114287</t>
  </si>
  <si>
    <t>WC7503531273</t>
  </si>
  <si>
    <t>ID9011555420</t>
  </si>
  <si>
    <t>MX7512977888</t>
  </si>
  <si>
    <t>KI7509995597</t>
  </si>
  <si>
    <t>FS7512349799</t>
  </si>
  <si>
    <t>FS9012119703</t>
  </si>
  <si>
    <t>LY7507587509</t>
  </si>
  <si>
    <t>FS7511961209</t>
  </si>
  <si>
    <t>FS7512346661</t>
  </si>
  <si>
    <t>KI9011910476</t>
  </si>
  <si>
    <t>MX7512994430</t>
  </si>
  <si>
    <t>KI9012109263</t>
  </si>
  <si>
    <t>ID9012129131</t>
  </si>
  <si>
    <t>LE9012108340</t>
  </si>
  <si>
    <t>ID9011553979</t>
  </si>
  <si>
    <t>KI7510047315</t>
  </si>
  <si>
    <t>KI9012118744</t>
  </si>
  <si>
    <t>KI9012111278</t>
  </si>
  <si>
    <t>LE9012100330</t>
  </si>
  <si>
    <t>LE9012108243</t>
  </si>
  <si>
    <t>KI7509876498</t>
  </si>
  <si>
    <t>LE0060854548</t>
  </si>
  <si>
    <t>LE9012112741</t>
  </si>
  <si>
    <t>FS7511946973</t>
  </si>
  <si>
    <t>LE9012112291</t>
  </si>
  <si>
    <t>BL7507539741</t>
  </si>
  <si>
    <t>KI7510014193</t>
  </si>
  <si>
    <t>KI9012111480</t>
  </si>
  <si>
    <t>MX7512974196</t>
  </si>
  <si>
    <t>FS7512347777</t>
  </si>
  <si>
    <t>HN7514151252</t>
  </si>
  <si>
    <t>FS7512350239</t>
  </si>
  <si>
    <t>FS7511963454</t>
  </si>
  <si>
    <t>LE7508324035</t>
  </si>
  <si>
    <t>ID9011557143</t>
  </si>
  <si>
    <t>RW7507261841</t>
  </si>
  <si>
    <t>LE9012108744</t>
  </si>
  <si>
    <t>KI9012119645</t>
  </si>
  <si>
    <t>KI7510032194</t>
  </si>
  <si>
    <t>ID9011555440</t>
  </si>
  <si>
    <t>KI7510031477</t>
  </si>
  <si>
    <t>LE9012112581</t>
  </si>
  <si>
    <t>LE7508310619</t>
  </si>
  <si>
    <t>KI9012104005</t>
  </si>
  <si>
    <t>KI7510025004</t>
  </si>
  <si>
    <t>LE9012106324</t>
  </si>
  <si>
    <t>KI7510061925</t>
  </si>
  <si>
    <t>LE9012109307</t>
  </si>
  <si>
    <t>ID9012127759</t>
  </si>
  <si>
    <t>KI7510005187</t>
  </si>
  <si>
    <t>FS9012112430</t>
  </si>
  <si>
    <t>KI7510051183</t>
  </si>
  <si>
    <t>AB0060842660</t>
  </si>
  <si>
    <t>LE9012114325</t>
  </si>
  <si>
    <t>Hold ATK At 29-09-25</t>
  </si>
  <si>
    <t>ID9012142333</t>
  </si>
  <si>
    <t>FS7511909671</t>
  </si>
  <si>
    <t>LE9012112391</t>
  </si>
  <si>
    <t>HD7506782191</t>
  </si>
  <si>
    <t>LE9012124138</t>
  </si>
  <si>
    <t>MX9012122885</t>
  </si>
  <si>
    <t>KI9012121627</t>
  </si>
  <si>
    <t>RW7507265900</t>
  </si>
  <si>
    <t>FS7511934895</t>
  </si>
  <si>
    <t>ID7507828742</t>
  </si>
  <si>
    <t>RW7507265906</t>
  </si>
  <si>
    <t>LE7508324123</t>
  </si>
  <si>
    <t>KI7500664676</t>
  </si>
  <si>
    <t>KI7510037391</t>
  </si>
  <si>
    <t>KI9012121584</t>
  </si>
  <si>
    <t>ID7507829574</t>
  </si>
  <si>
    <t>ID7507829486</t>
  </si>
  <si>
    <t>RW7507269398</t>
  </si>
  <si>
    <t>KI7500673784</t>
  </si>
  <si>
    <t>JR7513591472</t>
  </si>
  <si>
    <t>RW7507269234</t>
  </si>
  <si>
    <t>KI9012122215</t>
  </si>
  <si>
    <t>RW7507263585</t>
  </si>
  <si>
    <t>KI7510063512</t>
  </si>
  <si>
    <t>KI9012115715</t>
  </si>
  <si>
    <t>FS7512354386</t>
  </si>
  <si>
    <t>LE7510799083</t>
  </si>
  <si>
    <t>RW7507264383</t>
  </si>
  <si>
    <t>KI7510050632</t>
  </si>
  <si>
    <t>KI9012122753</t>
  </si>
  <si>
    <t>LE9012114257</t>
  </si>
  <si>
    <t>KI7510044880</t>
  </si>
  <si>
    <t>KI7510043960</t>
  </si>
  <si>
    <t>KP7514166356</t>
  </si>
  <si>
    <t>HD9011747815</t>
  </si>
  <si>
    <t>KI7510071806</t>
  </si>
  <si>
    <t>LE9012122920</t>
  </si>
  <si>
    <t>KI9012116473</t>
  </si>
  <si>
    <t>KI9012118671</t>
  </si>
  <si>
    <t>SD7508028628</t>
  </si>
  <si>
    <t>KI9012121689</t>
  </si>
  <si>
    <t>MX7512979721</t>
  </si>
  <si>
    <t>KI7510022482</t>
  </si>
  <si>
    <t>SL9012113855</t>
  </si>
  <si>
    <t>FS9012121716</t>
  </si>
  <si>
    <t>FS7511907078</t>
  </si>
  <si>
    <t>KI7510067195</t>
  </si>
  <si>
    <t>KI7510063054</t>
  </si>
  <si>
    <t>FS7511895513</t>
  </si>
  <si>
    <t>KI9012122144</t>
  </si>
  <si>
    <t>LE7508321692</t>
  </si>
  <si>
    <t>LE9012117347</t>
  </si>
  <si>
    <t>LE7508312785</t>
  </si>
  <si>
    <t>OK7503034358</t>
  </si>
  <si>
    <t>KI9012110432</t>
  </si>
  <si>
    <t>KI9012125380</t>
  </si>
  <si>
    <t>LE0060809892</t>
  </si>
  <si>
    <t>LE7508324050</t>
  </si>
  <si>
    <t>ID7507829918</t>
  </si>
  <si>
    <t>KI9012118046</t>
  </si>
  <si>
    <t>MX9012130264</t>
  </si>
  <si>
    <t>KI9012114065</t>
  </si>
  <si>
    <t>ID9011557196</t>
  </si>
  <si>
    <t>KI9012118863</t>
  </si>
  <si>
    <t>RW7507266776</t>
  </si>
  <si>
    <t>KI7500673052</t>
  </si>
  <si>
    <t>KI7509997823</t>
  </si>
  <si>
    <t>LE7508322186</t>
  </si>
  <si>
    <t>MG7507557173</t>
  </si>
  <si>
    <t>KI7510005872</t>
  </si>
  <si>
    <t>NV7504089531</t>
  </si>
  <si>
    <t>KI9012122130</t>
  </si>
  <si>
    <t>KI7510065089</t>
  </si>
  <si>
    <t>ID9011557645</t>
  </si>
  <si>
    <t>KI9012116460</t>
  </si>
  <si>
    <t>KI7510049931</t>
  </si>
  <si>
    <t>KI7510064676</t>
  </si>
  <si>
    <t>RW7507264805</t>
  </si>
  <si>
    <t>ID9011554367</t>
  </si>
  <si>
    <t>ID9011557564</t>
  </si>
  <si>
    <t>ID9011556823</t>
  </si>
  <si>
    <t>LE9012121510</t>
  </si>
  <si>
    <t>KI7500676554</t>
  </si>
  <si>
    <t>KI9012116818</t>
  </si>
  <si>
    <t>JR7513591387</t>
  </si>
  <si>
    <t>KS7503749081</t>
  </si>
  <si>
    <t>JR7513591771</t>
  </si>
  <si>
    <t>FS7511970384</t>
  </si>
  <si>
    <t>LE9012119570</t>
  </si>
  <si>
    <t>SQ7503445658</t>
  </si>
  <si>
    <t>RW0060876491</t>
  </si>
  <si>
    <t>KI9012121140</t>
  </si>
  <si>
    <t>KI7509979693</t>
  </si>
  <si>
    <t>KI7510009431</t>
  </si>
  <si>
    <t>KI7510068175</t>
  </si>
  <si>
    <t>KI7510061522</t>
  </si>
  <si>
    <t>KI9012109235</t>
  </si>
  <si>
    <t>JM7514161358</t>
  </si>
  <si>
    <t>KI0069918175</t>
  </si>
  <si>
    <t>RW7507264368</t>
  </si>
  <si>
    <t>KI7510051691</t>
  </si>
  <si>
    <t>KA7513706869</t>
  </si>
  <si>
    <t>GW9012127822</t>
  </si>
  <si>
    <t>KA7513707478</t>
  </si>
  <si>
    <t>HD9012120376</t>
  </si>
  <si>
    <t>SA7514129917</t>
  </si>
  <si>
    <t>KI7510059713</t>
  </si>
  <si>
    <t>ID9011557724</t>
  </si>
  <si>
    <t>KI7500673735</t>
  </si>
  <si>
    <t>KI9012121495</t>
  </si>
  <si>
    <t>MX9012132929</t>
  </si>
  <si>
    <t>NV7504089544</t>
  </si>
  <si>
    <t>KI7510065961</t>
  </si>
  <si>
    <t>FS9012128836</t>
  </si>
  <si>
    <t>LE7508312792</t>
  </si>
  <si>
    <t>KI7509990306</t>
  </si>
  <si>
    <t>RW7507267142</t>
  </si>
  <si>
    <t>KI7510040610</t>
  </si>
  <si>
    <t>FS9012130475</t>
  </si>
  <si>
    <t>Hold ATK At 30-09-25</t>
  </si>
  <si>
    <t>Hold ATK At 24-09-25</t>
  </si>
  <si>
    <t>LE9012129905</t>
  </si>
  <si>
    <t>KI7510069827</t>
  </si>
  <si>
    <t>LE9012128170</t>
  </si>
  <si>
    <t>KI7506205533</t>
  </si>
  <si>
    <t>LE9012132733</t>
  </si>
  <si>
    <t>FS9012139681</t>
  </si>
  <si>
    <t>HD9011725606</t>
  </si>
  <si>
    <t>KI9012128091</t>
  </si>
  <si>
    <t>LE7508333121</t>
  </si>
  <si>
    <t>LE7508335157</t>
  </si>
  <si>
    <t>KI7500673840</t>
  </si>
  <si>
    <t>LE9012130920</t>
  </si>
  <si>
    <t>LE9012137769</t>
  </si>
  <si>
    <t>LE9012123599</t>
  </si>
  <si>
    <t>KI7506199389</t>
  </si>
  <si>
    <t>LE9012129167</t>
  </si>
  <si>
    <t>LE7508345970</t>
  </si>
  <si>
    <t>LE7508339220</t>
  </si>
  <si>
    <t>LE9012129850</t>
  </si>
  <si>
    <t>KI7510087544</t>
  </si>
  <si>
    <t>FS7511978431</t>
  </si>
  <si>
    <t>FS9012136322</t>
  </si>
  <si>
    <t>LE9012123388</t>
  </si>
  <si>
    <t>CC9012110367</t>
  </si>
  <si>
    <t>LE9012134496</t>
  </si>
  <si>
    <t>KI7500671654</t>
  </si>
  <si>
    <t>KI7510015760</t>
  </si>
  <si>
    <t>KI7510044501</t>
  </si>
  <si>
    <t>FS7511980902</t>
  </si>
  <si>
    <t>LE9012128086</t>
  </si>
  <si>
    <t>ID9012134374</t>
  </si>
  <si>
    <t>LE9012129623</t>
  </si>
  <si>
    <t>PW9012139219</t>
  </si>
  <si>
    <t>ID9012133056</t>
  </si>
  <si>
    <t>RW7507270153</t>
  </si>
  <si>
    <t>LE9012137920</t>
  </si>
  <si>
    <t>LE9012129821</t>
  </si>
  <si>
    <t>LE9012138900</t>
  </si>
  <si>
    <t>KI7510078385</t>
  </si>
  <si>
    <t>KI9012121016</t>
  </si>
  <si>
    <t>RW7507270328</t>
  </si>
  <si>
    <t>LE7508336005</t>
  </si>
  <si>
    <t>RN9012147737</t>
  </si>
  <si>
    <t>KI9012134044</t>
  </si>
  <si>
    <t>WC7506794634</t>
  </si>
  <si>
    <t>KI9012114681</t>
  </si>
  <si>
    <t>LE9012122681</t>
  </si>
  <si>
    <t>KI9012130052</t>
  </si>
  <si>
    <t>FS7511993331</t>
  </si>
  <si>
    <t>RN9010906425</t>
  </si>
  <si>
    <t>FS7511983871</t>
  </si>
  <si>
    <t>RW0060888691</t>
  </si>
  <si>
    <t>ID9012126822</t>
  </si>
  <si>
    <t>KI9012121889</t>
  </si>
  <si>
    <t>SP7514177846</t>
  </si>
  <si>
    <t>JR9011766191</t>
  </si>
  <si>
    <t>KI9012129018</t>
  </si>
  <si>
    <t>PW9012147633</t>
  </si>
  <si>
    <t>PW9012133834</t>
  </si>
  <si>
    <t>KI7506194004</t>
  </si>
  <si>
    <t>FS7511990830</t>
  </si>
  <si>
    <t>ID9012135140</t>
  </si>
  <si>
    <t>RW7507266020</t>
  </si>
  <si>
    <t>RW7507270836</t>
  </si>
  <si>
    <t>KI9012125356</t>
  </si>
  <si>
    <t>SL9012138014</t>
  </si>
  <si>
    <t>KI9012129400</t>
  </si>
  <si>
    <t>FS9012142353</t>
  </si>
  <si>
    <t>FS7511977826</t>
  </si>
  <si>
    <t>FS7512355023</t>
  </si>
  <si>
    <t>LE7508335602</t>
  </si>
  <si>
    <t>LE7508323474</t>
  </si>
  <si>
    <t>LY9012130330</t>
  </si>
  <si>
    <t>KI9012139287</t>
  </si>
  <si>
    <t>KI9012118475</t>
  </si>
  <si>
    <t>LE9012129849</t>
  </si>
  <si>
    <t>FS9012144690</t>
  </si>
  <si>
    <t>RN9010827670</t>
  </si>
  <si>
    <t>FS7511987736</t>
  </si>
  <si>
    <t>FS9012147707</t>
  </si>
  <si>
    <t>KI9012128560</t>
  </si>
  <si>
    <t>KI9012138135</t>
  </si>
  <si>
    <t>FS7511993008</t>
  </si>
  <si>
    <t>FS9012136022</t>
  </si>
  <si>
    <t>SA7514132292</t>
  </si>
  <si>
    <t>FS7511992475</t>
  </si>
  <si>
    <t>SP7506750097</t>
  </si>
  <si>
    <t>AM7513831786</t>
  </si>
  <si>
    <t>FS7511972287</t>
  </si>
  <si>
    <t>KI9012125025</t>
  </si>
  <si>
    <t>FS7511943078</t>
  </si>
  <si>
    <t>LE7508358527</t>
  </si>
  <si>
    <t>SA7514131691</t>
  </si>
  <si>
    <t>JD7504339759</t>
  </si>
  <si>
    <t>KI9012124352</t>
  </si>
  <si>
    <t>BA7507937048</t>
  </si>
  <si>
    <t>FS7512356212</t>
  </si>
  <si>
    <t>KI9012137923</t>
  </si>
  <si>
    <t>Hold ATK At 01-10-25</t>
  </si>
  <si>
    <t>LE9012131624</t>
  </si>
  <si>
    <t>KI9012135124</t>
  </si>
  <si>
    <t>LE9012121235</t>
  </si>
  <si>
    <t>MX7512984698</t>
  </si>
  <si>
    <t>AT9012151693</t>
  </si>
  <si>
    <t>KI7506195487</t>
  </si>
  <si>
    <t>FS7511988455</t>
  </si>
  <si>
    <t>FS7511934988</t>
  </si>
  <si>
    <t>KI9012144241</t>
  </si>
  <si>
    <t>KI7500676906</t>
  </si>
  <si>
    <t>KI9012144904</t>
  </si>
  <si>
    <t>KI9012136331</t>
  </si>
  <si>
    <t>LE9012137064</t>
  </si>
  <si>
    <t>HD7506785015</t>
  </si>
  <si>
    <t>LE7508354116</t>
  </si>
  <si>
    <t>FS9012148392</t>
  </si>
  <si>
    <t>KI7506214965</t>
  </si>
  <si>
    <t>KI9012138805</t>
  </si>
  <si>
    <t>LE7508337026</t>
  </si>
  <si>
    <t>RW7507273998</t>
  </si>
  <si>
    <t>SZ9012129897</t>
  </si>
  <si>
    <t>KI9012142218</t>
  </si>
  <si>
    <t>KI9012135906</t>
  </si>
  <si>
    <t>KI9012140911</t>
  </si>
  <si>
    <t>VR9012141604</t>
  </si>
  <si>
    <t>SA7514131198</t>
  </si>
  <si>
    <t>PW7513544433</t>
  </si>
  <si>
    <t>LE9012144810</t>
  </si>
  <si>
    <t>KI9012126363</t>
  </si>
  <si>
    <t>GW9011765940</t>
  </si>
  <si>
    <t>KI9012138099</t>
  </si>
  <si>
    <t>RW7507274334</t>
  </si>
  <si>
    <t>KI9012128656</t>
  </si>
  <si>
    <t>FS9012133258</t>
  </si>
  <si>
    <t>MX7512977531</t>
  </si>
  <si>
    <t>LE0060884674</t>
  </si>
  <si>
    <t>LE7508344486</t>
  </si>
  <si>
    <t>FS7511955810</t>
  </si>
  <si>
    <t>KI9012142248</t>
  </si>
  <si>
    <t>KI9012135722</t>
  </si>
  <si>
    <t>KI9012144100</t>
  </si>
  <si>
    <t>LE9012133592</t>
  </si>
  <si>
    <t>KI9012134910</t>
  </si>
  <si>
    <t>FS7511997442</t>
  </si>
  <si>
    <t>KI0069918737</t>
  </si>
  <si>
    <t>LE9011762136</t>
  </si>
  <si>
    <t>KI7500677503</t>
  </si>
  <si>
    <t>KI9012135033</t>
  </si>
  <si>
    <t>FS7512359950</t>
  </si>
  <si>
    <t>RN9012151805</t>
  </si>
  <si>
    <t>KI7510073262</t>
  </si>
  <si>
    <t>RW7507272809</t>
  </si>
  <si>
    <t>LE7508356705</t>
  </si>
  <si>
    <t>DG9011761309</t>
  </si>
  <si>
    <t>LE9012144625</t>
  </si>
  <si>
    <t>MX7512983472</t>
  </si>
  <si>
    <t>LE7508337892</t>
  </si>
  <si>
    <t>FS7511986455</t>
  </si>
  <si>
    <t>KI7506207139</t>
  </si>
  <si>
    <t>JR7513592406</t>
  </si>
  <si>
    <t>KI9012140684</t>
  </si>
  <si>
    <t>KI7510084922</t>
  </si>
  <si>
    <t>FS7511995612</t>
  </si>
  <si>
    <t>KI9012139740</t>
  </si>
  <si>
    <t>KI7506193319</t>
  </si>
  <si>
    <t>FS7511993230</t>
  </si>
  <si>
    <t>LE9012143315</t>
  </si>
  <si>
    <t>LE9012142160</t>
  </si>
  <si>
    <t>KI7506187677</t>
  </si>
  <si>
    <t>FS7512350509</t>
  </si>
  <si>
    <t>ID9012149015</t>
  </si>
  <si>
    <t>DI9011757905</t>
  </si>
  <si>
    <t>FS7511997362</t>
  </si>
  <si>
    <t>KI7510079578</t>
  </si>
  <si>
    <t>FS7511999235</t>
  </si>
  <si>
    <t>FS7512004688</t>
  </si>
  <si>
    <t>SL9012145566</t>
  </si>
  <si>
    <t>LE9012122828</t>
  </si>
  <si>
    <t>KI9012128718</t>
  </si>
  <si>
    <t>KI7506201633</t>
  </si>
  <si>
    <t>KI9012141360</t>
  </si>
  <si>
    <t>MX7512984712</t>
  </si>
  <si>
    <t>FS7512004602</t>
  </si>
  <si>
    <t>KI9012123608</t>
  </si>
  <si>
    <t>KI9012141062</t>
  </si>
  <si>
    <t>KI7510089914</t>
  </si>
  <si>
    <t>FS7512354290</t>
  </si>
  <si>
    <t>SL9012141394</t>
  </si>
  <si>
    <t>FS7512359919</t>
  </si>
  <si>
    <t>KI7506199105</t>
  </si>
  <si>
    <t>MX9012147959</t>
  </si>
  <si>
    <t>RW7507271608</t>
  </si>
  <si>
    <t>KI7506206354</t>
  </si>
  <si>
    <t>RW0060888757</t>
  </si>
  <si>
    <t>FS7511993409</t>
  </si>
  <si>
    <t>FS7511973562</t>
  </si>
  <si>
    <t>KI7510049819</t>
  </si>
  <si>
    <t>LE9012141771</t>
  </si>
  <si>
    <t>Hold ATK At 02-10-25</t>
  </si>
  <si>
    <t>VPC</t>
  </si>
  <si>
    <t>AT7504325406</t>
  </si>
  <si>
    <t>FS7511901099</t>
  </si>
  <si>
    <t>Ayaz hussain shah</t>
  </si>
  <si>
    <t>ID9012163819</t>
  </si>
  <si>
    <t>PW9012134990</t>
  </si>
  <si>
    <t>KI9012157235</t>
  </si>
  <si>
    <t>KI7508574487</t>
  </si>
  <si>
    <t>LE9012155613</t>
  </si>
  <si>
    <t>LE7508393877</t>
  </si>
  <si>
    <t>MC7503297086</t>
  </si>
  <si>
    <t>KI7506270382</t>
  </si>
  <si>
    <t>LE7508394415</t>
  </si>
  <si>
    <t>LE7508392339</t>
  </si>
  <si>
    <t>LE9012145580</t>
  </si>
  <si>
    <t>LE9012153822</t>
  </si>
  <si>
    <t>LE9012147572</t>
  </si>
  <si>
    <t>LE0060886534</t>
  </si>
  <si>
    <t>KI7510084719</t>
  </si>
  <si>
    <t>LE9012154676</t>
  </si>
  <si>
    <t>KI9012146577</t>
  </si>
  <si>
    <t>KI9012160553</t>
  </si>
  <si>
    <t>LE7508388628</t>
  </si>
  <si>
    <t>LE9012154631</t>
  </si>
  <si>
    <t>KI9012158323</t>
  </si>
  <si>
    <t>MX7512986455</t>
  </si>
  <si>
    <t>LE7508386241</t>
  </si>
  <si>
    <t>SL9012160505</t>
  </si>
  <si>
    <t>KI9012158213</t>
  </si>
  <si>
    <t>LE9012155025</t>
  </si>
  <si>
    <t>KI7506273055</t>
  </si>
  <si>
    <t>LE9012149630</t>
  </si>
  <si>
    <t>KI7506267579</t>
  </si>
  <si>
    <t>LE9012146181</t>
  </si>
  <si>
    <t>LE9012133794</t>
  </si>
  <si>
    <t>TY9012155692</t>
  </si>
  <si>
    <t>SL9012160519</t>
  </si>
  <si>
    <t>DP7508556905</t>
  </si>
  <si>
    <t>LE9012153904</t>
  </si>
  <si>
    <t>AM7513833598</t>
  </si>
  <si>
    <t>KI9012158335</t>
  </si>
  <si>
    <t>LE7508385887</t>
  </si>
  <si>
    <t>KI7508573943</t>
  </si>
  <si>
    <t>ID7512512886</t>
  </si>
  <si>
    <t>LE9012149608</t>
  </si>
  <si>
    <t>OK0060693289</t>
  </si>
  <si>
    <t>KI9012144652</t>
  </si>
  <si>
    <t>KI9012146031</t>
  </si>
  <si>
    <t>ID7512511573</t>
  </si>
  <si>
    <t>MU9011772371</t>
  </si>
  <si>
    <t>LE9012146310</t>
  </si>
  <si>
    <t>LE9012146505</t>
  </si>
  <si>
    <t>LE9012154964</t>
  </si>
  <si>
    <t>ID9012158823</t>
  </si>
  <si>
    <t>LE9012125369</t>
  </si>
  <si>
    <t>KI7506266111</t>
  </si>
  <si>
    <t>LE9012148976</t>
  </si>
  <si>
    <t>LE9012141188</t>
  </si>
  <si>
    <t>KI9012146917</t>
  </si>
  <si>
    <t>KI9012146415</t>
  </si>
  <si>
    <t>KI7500683700</t>
  </si>
  <si>
    <t>ID9012165226</t>
  </si>
  <si>
    <t>KI9012153286</t>
  </si>
  <si>
    <t>KI7506259531</t>
  </si>
  <si>
    <t>SP7514178263</t>
  </si>
  <si>
    <t>KI9012158326</t>
  </si>
  <si>
    <t>KS7503749792</t>
  </si>
  <si>
    <t>KI7506270121</t>
  </si>
  <si>
    <t>LE9012129510</t>
  </si>
  <si>
    <t>GT9012167592</t>
  </si>
  <si>
    <t>KI9012153259</t>
  </si>
  <si>
    <t>ID9012168346</t>
  </si>
  <si>
    <t>KI7510079254</t>
  </si>
  <si>
    <t>KI7510080862</t>
  </si>
  <si>
    <t>KI9012154018</t>
  </si>
  <si>
    <t>KI7506212353</t>
  </si>
  <si>
    <t>LE7508404231</t>
  </si>
  <si>
    <t>PW7513546793</t>
  </si>
  <si>
    <t>LE9012145589</t>
  </si>
  <si>
    <t>LE7501235231</t>
  </si>
  <si>
    <t>KI7506249425</t>
  </si>
  <si>
    <t>LE7508380317</t>
  </si>
  <si>
    <t>PW9012155114</t>
  </si>
  <si>
    <t>KI9012152261</t>
  </si>
  <si>
    <t>MX9012169194</t>
  </si>
  <si>
    <t>RW7507278583</t>
  </si>
  <si>
    <t>KI9012162844</t>
  </si>
  <si>
    <t>KI7506210141</t>
  </si>
  <si>
    <t>LE7508388071</t>
  </si>
  <si>
    <t>Hold ATK At 04-10-25</t>
  </si>
  <si>
    <t>ATM069693098</t>
  </si>
  <si>
    <t xml:space="preserve">Jand </t>
  </si>
  <si>
    <t>ATM069693100</t>
  </si>
  <si>
    <t xml:space="preserve">FTJ </t>
  </si>
  <si>
    <t xml:space="preserve">M- Bag </t>
  </si>
  <si>
    <t>ATM069693101</t>
  </si>
  <si>
    <t>PGB</t>
  </si>
  <si>
    <t xml:space="preserve">Station </t>
  </si>
  <si>
    <t>ATM069693102</t>
  </si>
  <si>
    <t>KLP</t>
  </si>
  <si>
    <t>LHE</t>
  </si>
  <si>
    <t>ATM069693076</t>
  </si>
  <si>
    <t>RND</t>
  </si>
  <si>
    <t>ATM069693097</t>
  </si>
  <si>
    <t>LHK</t>
  </si>
  <si>
    <t>ATM069693094</t>
  </si>
  <si>
    <t xml:space="preserve">Wah </t>
  </si>
  <si>
    <t>ATM069693095</t>
  </si>
  <si>
    <t>FSD</t>
  </si>
  <si>
    <t>ATM069693096</t>
  </si>
  <si>
    <t>BGH</t>
  </si>
  <si>
    <t>ATM069693092</t>
  </si>
  <si>
    <t>GRW</t>
  </si>
  <si>
    <t>ATM069693099</t>
  </si>
  <si>
    <t>HNG</t>
  </si>
  <si>
    <t>ATM069693091</t>
  </si>
  <si>
    <t>RWP</t>
  </si>
  <si>
    <t>ATM069693090</t>
  </si>
  <si>
    <t xml:space="preserve">ISB </t>
  </si>
  <si>
    <t>ATM069693087</t>
  </si>
  <si>
    <t>ATM069693082</t>
  </si>
  <si>
    <t>HYD</t>
  </si>
  <si>
    <t>ATM069693084</t>
  </si>
  <si>
    <t xml:space="preserve">SWI </t>
  </si>
  <si>
    <t>SKT</t>
  </si>
  <si>
    <t>ATM069693083</t>
  </si>
  <si>
    <t>SGD</t>
  </si>
  <si>
    <t>ATM069693079</t>
  </si>
  <si>
    <t>ABT</t>
  </si>
  <si>
    <t>ATM069693080</t>
  </si>
  <si>
    <t>JHR</t>
  </si>
  <si>
    <t>ATM069693081</t>
  </si>
  <si>
    <t xml:space="preserve">HRI </t>
  </si>
  <si>
    <t>ATM069693085</t>
  </si>
  <si>
    <t>MRD</t>
  </si>
  <si>
    <t>ATM069693093</t>
  </si>
  <si>
    <t>MUX</t>
  </si>
  <si>
    <t>ATM069693078</t>
  </si>
  <si>
    <t>PEW</t>
  </si>
  <si>
    <t xml:space="preserve">VAN </t>
  </si>
  <si>
    <t>ATM069693088</t>
  </si>
  <si>
    <t>GRT</t>
  </si>
  <si>
    <t>ATM069693077</t>
  </si>
  <si>
    <t xml:space="preserve">UET </t>
  </si>
  <si>
    <t>ATM069693086</t>
  </si>
  <si>
    <t>JLM</t>
  </si>
  <si>
    <t>ATM069693089</t>
  </si>
  <si>
    <t>MNA</t>
  </si>
  <si>
    <t>ATM069693103</t>
  </si>
  <si>
    <t>NOW</t>
  </si>
  <si>
    <t>ISB</t>
  </si>
  <si>
    <t xml:space="preserve">Service </t>
  </si>
  <si>
    <t xml:space="preserve">Overnight </t>
  </si>
  <si>
    <t>ATM069693106</t>
  </si>
  <si>
    <t>ATM069693105</t>
  </si>
  <si>
    <t>ATM069693104</t>
  </si>
  <si>
    <t>LE7508438680</t>
  </si>
  <si>
    <t>PW7513550853</t>
  </si>
  <si>
    <t>PW9012174426</t>
  </si>
  <si>
    <t>GW9011781400</t>
  </si>
  <si>
    <t>FS7512021338</t>
  </si>
  <si>
    <t>FS7512044732</t>
  </si>
  <si>
    <t>FS7512024362</t>
  </si>
  <si>
    <t>KI9012185593</t>
  </si>
  <si>
    <t>LE9012171386</t>
  </si>
  <si>
    <t>FS9012000337</t>
  </si>
  <si>
    <t>WC7503532268</t>
  </si>
  <si>
    <t>FS7512034430</t>
  </si>
  <si>
    <t>LE7508455404</t>
  </si>
  <si>
    <t>LE9012173355</t>
  </si>
  <si>
    <t>FS7512063463</t>
  </si>
  <si>
    <t>LE7508431147</t>
  </si>
  <si>
    <t>LE7508433496</t>
  </si>
  <si>
    <t>SL7507522410</t>
  </si>
  <si>
    <t>FS7512071205</t>
  </si>
  <si>
    <t>ID9012176320</t>
  </si>
  <si>
    <t>LE7508444019</t>
  </si>
  <si>
    <t>KI7508663626</t>
  </si>
  <si>
    <t>KI7500696490</t>
  </si>
  <si>
    <t>MG7507559972</t>
  </si>
  <si>
    <t>KI9012166563</t>
  </si>
  <si>
    <t>AM7513835117</t>
  </si>
  <si>
    <t>LE9012188600</t>
  </si>
  <si>
    <t>FS7512067291</t>
  </si>
  <si>
    <t>KL7513989548</t>
  </si>
  <si>
    <t>LE9012176860</t>
  </si>
  <si>
    <t>LE7508427861</t>
  </si>
  <si>
    <t>LE7508440485</t>
  </si>
  <si>
    <t>KI9012180275</t>
  </si>
  <si>
    <t>MG7507559803</t>
  </si>
  <si>
    <t>OK7514314216</t>
  </si>
  <si>
    <t>KA7513709657</t>
  </si>
  <si>
    <t>TM7513951679</t>
  </si>
  <si>
    <t>FS7512077698</t>
  </si>
  <si>
    <t>LE9012183787</t>
  </si>
  <si>
    <t>KI9012194755</t>
  </si>
  <si>
    <t>LE9012190260</t>
  </si>
  <si>
    <t>KI9012158708</t>
  </si>
  <si>
    <t>LE7508422886</t>
  </si>
  <si>
    <t>ID9012198315</t>
  </si>
  <si>
    <t>KN0060745540</t>
  </si>
  <si>
    <t>LE9012172850</t>
  </si>
  <si>
    <t>JG7503724817</t>
  </si>
  <si>
    <t>LE9012181306</t>
  </si>
  <si>
    <t>LE9012175788</t>
  </si>
  <si>
    <t>KI9012189476</t>
  </si>
  <si>
    <t>LE9012176000</t>
  </si>
  <si>
    <t>LE9012193836</t>
  </si>
  <si>
    <t>LE9012181654</t>
  </si>
  <si>
    <t>MX9012189599</t>
  </si>
  <si>
    <t>SW7513963277</t>
  </si>
  <si>
    <t>LE7508437558</t>
  </si>
  <si>
    <t>RW0060867372</t>
  </si>
  <si>
    <t>FS7512047933</t>
  </si>
  <si>
    <t>FS7512078252</t>
  </si>
  <si>
    <t>GW9012195348</t>
  </si>
  <si>
    <t>MX9012164651</t>
  </si>
  <si>
    <t>KI7508657078</t>
  </si>
  <si>
    <t>LE9012179646</t>
  </si>
  <si>
    <t>FS9012194417</t>
  </si>
  <si>
    <t>RW7507289461</t>
  </si>
  <si>
    <t>MG7507559880</t>
  </si>
  <si>
    <t>KI9012178091</t>
  </si>
  <si>
    <t>FS7512356779</t>
  </si>
  <si>
    <t>KI9012184929</t>
  </si>
  <si>
    <t>KI9012191178</t>
  </si>
  <si>
    <t>KI9012190711</t>
  </si>
  <si>
    <t>KI9012183460</t>
  </si>
  <si>
    <t>LE9012187002</t>
  </si>
  <si>
    <t>FS7512075506</t>
  </si>
  <si>
    <t>JR9011781197</t>
  </si>
  <si>
    <t>LE7508426199</t>
  </si>
  <si>
    <t>KI7508663413</t>
  </si>
  <si>
    <t>LE9012179647</t>
  </si>
  <si>
    <t>KI9012181044</t>
  </si>
  <si>
    <t>LE7508440876</t>
  </si>
  <si>
    <t>LE9012178219</t>
  </si>
  <si>
    <t>KI9012182627</t>
  </si>
  <si>
    <t>KI9012177636</t>
  </si>
  <si>
    <t>LE9012167793</t>
  </si>
  <si>
    <t>KI9012173007</t>
  </si>
  <si>
    <t>KI7508652363</t>
  </si>
  <si>
    <t>KI7508650473</t>
  </si>
  <si>
    <t>LE7508443670</t>
  </si>
  <si>
    <t>KI9012165438</t>
  </si>
  <si>
    <t>FS7512075357</t>
  </si>
  <si>
    <t>LE9012194586</t>
  </si>
  <si>
    <t>KI9012186112</t>
  </si>
  <si>
    <t>RW7507287979</t>
  </si>
  <si>
    <t>KI9012186921</t>
  </si>
  <si>
    <t>LE9012170903</t>
  </si>
  <si>
    <t>RN9012191820</t>
  </si>
  <si>
    <t>LE9012178213</t>
  </si>
  <si>
    <t>KI9012184882</t>
  </si>
  <si>
    <t>LE7508443891</t>
  </si>
  <si>
    <t>LE9012168872</t>
  </si>
  <si>
    <t>KI9012183461</t>
  </si>
  <si>
    <t>KI9012180695</t>
  </si>
  <si>
    <t>FS7512075383</t>
  </si>
  <si>
    <t>LE9012182748</t>
  </si>
  <si>
    <t>KI9012182134</t>
  </si>
  <si>
    <t>FS7512076781</t>
  </si>
  <si>
    <t>LE9012181170</t>
  </si>
  <si>
    <t>RW7507289451</t>
  </si>
  <si>
    <t>LE9012182225</t>
  </si>
  <si>
    <t>LE9012195540</t>
  </si>
  <si>
    <t>KI7508646121</t>
  </si>
  <si>
    <t>KI9012190185</t>
  </si>
  <si>
    <t>KI9012184236</t>
  </si>
  <si>
    <t>LE7508439130</t>
  </si>
  <si>
    <t>LE7508438674</t>
  </si>
  <si>
    <t>LE9012175637</t>
  </si>
  <si>
    <t>LE9012176601</t>
  </si>
  <si>
    <t>Hold ATK At 09-10-25</t>
  </si>
  <si>
    <t>VR7503500141</t>
  </si>
  <si>
    <t xml:space="preserve">Overland </t>
  </si>
  <si>
    <t>ATM069861899</t>
  </si>
  <si>
    <t>CKL</t>
  </si>
  <si>
    <t>ATM069861898</t>
  </si>
  <si>
    <t>ATM069861955</t>
  </si>
  <si>
    <t>ATM069861897</t>
  </si>
  <si>
    <t>ATM069861954</t>
  </si>
  <si>
    <t>ATM069693186</t>
  </si>
  <si>
    <t>ATM069861894</t>
  </si>
  <si>
    <t>ATM069861896</t>
  </si>
  <si>
    <t>ATM069861893</t>
  </si>
  <si>
    <t>ATM069693184</t>
  </si>
  <si>
    <t>ATM069693183</t>
  </si>
  <si>
    <t>ATM069861895</t>
  </si>
  <si>
    <t>ATM069861925</t>
  </si>
  <si>
    <t>ATM069861924</t>
  </si>
  <si>
    <t>ATM069861929</t>
  </si>
  <si>
    <t>ATM069861928</t>
  </si>
  <si>
    <t>ATM069861932</t>
  </si>
  <si>
    <t>ATM069861930</t>
  </si>
  <si>
    <t>ATM069861926</t>
  </si>
  <si>
    <t>BHV</t>
  </si>
  <si>
    <t xml:space="preserve">Over Night </t>
  </si>
  <si>
    <t>ATM069861922</t>
  </si>
  <si>
    <t>ATM069861923</t>
  </si>
  <si>
    <t>ATM069861920</t>
  </si>
  <si>
    <t>ATM069861918</t>
  </si>
  <si>
    <t>ATM069861917</t>
  </si>
  <si>
    <t>ATM069861915</t>
  </si>
  <si>
    <t>ATM069861916</t>
  </si>
  <si>
    <t>ATM069861914</t>
  </si>
  <si>
    <t>ATM069861911</t>
  </si>
  <si>
    <t>ATM069861912</t>
  </si>
  <si>
    <t>ATM069861910</t>
  </si>
  <si>
    <t>TTS</t>
  </si>
  <si>
    <t>ATM069861909</t>
  </si>
  <si>
    <t>ATM069861908</t>
  </si>
  <si>
    <t>ATM069861913</t>
  </si>
  <si>
    <t>ATM069861907</t>
  </si>
  <si>
    <t>ATM069861902</t>
  </si>
  <si>
    <t>KSB</t>
  </si>
  <si>
    <t>ATM069861905</t>
  </si>
  <si>
    <t>SWT</t>
  </si>
  <si>
    <t>ATM069861921</t>
  </si>
  <si>
    <t>ATM069861919</t>
  </si>
  <si>
    <t>ATM069861904</t>
  </si>
  <si>
    <t>ATM069861903</t>
  </si>
  <si>
    <t>ATM069861906</t>
  </si>
  <si>
    <t>TOP</t>
  </si>
  <si>
    <t>ATM069861927</t>
  </si>
  <si>
    <t>ATM06986190</t>
  </si>
  <si>
    <t>ATM069861900</t>
  </si>
  <si>
    <t>ATM069861931</t>
  </si>
  <si>
    <t>LE7508466352</t>
  </si>
  <si>
    <t>KI9012181235</t>
  </si>
  <si>
    <t>KI7508715606</t>
  </si>
  <si>
    <t>KI9012190035</t>
  </si>
  <si>
    <t>LE9012198264</t>
  </si>
  <si>
    <t>JR7513620228</t>
  </si>
  <si>
    <t>PW7513551945</t>
  </si>
  <si>
    <t>GT7514187709</t>
  </si>
  <si>
    <t>LE7508447011</t>
  </si>
  <si>
    <t>LE9012190214</t>
  </si>
  <si>
    <t>LE7508466872</t>
  </si>
  <si>
    <t>LE9012199649</t>
  </si>
  <si>
    <t>LE7508480825</t>
  </si>
  <si>
    <t>KI9012185203</t>
  </si>
  <si>
    <t>LE9012196714</t>
  </si>
  <si>
    <t>KI9012186696</t>
  </si>
  <si>
    <t>SP9012179644</t>
  </si>
  <si>
    <t>FS7512069464</t>
  </si>
  <si>
    <t>ID9011564616</t>
  </si>
  <si>
    <t>KI7508730619</t>
  </si>
  <si>
    <t>KI9012182754</t>
  </si>
  <si>
    <t>PT9012000679</t>
  </si>
  <si>
    <t>LE7508453971</t>
  </si>
  <si>
    <t>LE9012198165</t>
  </si>
  <si>
    <t>LE7508463858</t>
  </si>
  <si>
    <t>LE9012157913</t>
  </si>
  <si>
    <t>RW7507289411</t>
  </si>
  <si>
    <t>FS7512090595</t>
  </si>
  <si>
    <t>VR9012011287</t>
  </si>
  <si>
    <t>FS7512074625</t>
  </si>
  <si>
    <t>FS7512084298</t>
  </si>
  <si>
    <t>HD9012182319</t>
  </si>
  <si>
    <t>SF0060858964</t>
  </si>
  <si>
    <t>KI9012185238</t>
  </si>
  <si>
    <t>LE7508477081</t>
  </si>
  <si>
    <t>KS7514341644</t>
  </si>
  <si>
    <t>KI9012002391</t>
  </si>
  <si>
    <t>ID9011564679</t>
  </si>
  <si>
    <t>ID9011563779</t>
  </si>
  <si>
    <t>LE9012197644</t>
  </si>
  <si>
    <t>ID9011562921</t>
  </si>
  <si>
    <t>KI9012181580</t>
  </si>
  <si>
    <t>ID9012009150</t>
  </si>
  <si>
    <t>LE9012001005</t>
  </si>
  <si>
    <t>ID7512526239</t>
  </si>
  <si>
    <t>ID9011563717</t>
  </si>
  <si>
    <t>KI9012184960</t>
  </si>
  <si>
    <t>LE9012179282</t>
  </si>
  <si>
    <t>KS7514341673</t>
  </si>
  <si>
    <t>KI7500697271</t>
  </si>
  <si>
    <t>MM7505088981</t>
  </si>
  <si>
    <t>ID9012013680</t>
  </si>
  <si>
    <t>LE7508447023</t>
  </si>
  <si>
    <t>KI7508668296</t>
  </si>
  <si>
    <t>KI7508646397</t>
  </si>
  <si>
    <t>KI7508666360</t>
  </si>
  <si>
    <t>KI7508679791</t>
  </si>
  <si>
    <t>KI7508656712</t>
  </si>
  <si>
    <t>KI9012198645</t>
  </si>
  <si>
    <t>RW7507293066</t>
  </si>
  <si>
    <t>FS7512059994</t>
  </si>
  <si>
    <t>KI9012194894</t>
  </si>
  <si>
    <t>KI7508683145</t>
  </si>
  <si>
    <t>KI7508620024</t>
  </si>
  <si>
    <t>KI9012186466</t>
  </si>
  <si>
    <t>ID9011564629</t>
  </si>
  <si>
    <t>KI7508654193</t>
  </si>
  <si>
    <t>FS7512065011</t>
  </si>
  <si>
    <t>FS7512052972</t>
  </si>
  <si>
    <t>KI9012194731</t>
  </si>
  <si>
    <t>HD9012186151</t>
  </si>
  <si>
    <t>KI9012195057</t>
  </si>
  <si>
    <t>KI9012198345</t>
  </si>
  <si>
    <t>ID9012007907</t>
  </si>
  <si>
    <t>KI9012194366</t>
  </si>
  <si>
    <t>KI9012193813</t>
  </si>
  <si>
    <t>LY9011795888</t>
  </si>
  <si>
    <t>KI9012174100</t>
  </si>
  <si>
    <t>ID7512526702</t>
  </si>
  <si>
    <t>KI7508723435</t>
  </si>
  <si>
    <t>FS7512074389</t>
  </si>
  <si>
    <t>FS7512079391</t>
  </si>
  <si>
    <t>KI9012198640</t>
  </si>
  <si>
    <t>KI7508680197</t>
  </si>
  <si>
    <t>KI9012180024</t>
  </si>
  <si>
    <t>FS7512069417</t>
  </si>
  <si>
    <t>KI7508655904</t>
  </si>
  <si>
    <t>MM7505088141</t>
  </si>
  <si>
    <t>LE7508455619</t>
  </si>
  <si>
    <t>KI9012171576</t>
  </si>
  <si>
    <t>KI7508679967</t>
  </si>
  <si>
    <t>FS9012005941</t>
  </si>
  <si>
    <t>JG7503725417</t>
  </si>
  <si>
    <t>KI7508678945</t>
  </si>
  <si>
    <t>FS7512083571</t>
  </si>
  <si>
    <t>KI9012185951</t>
  </si>
  <si>
    <t>KI7508704311</t>
  </si>
  <si>
    <t>MC7503297718</t>
  </si>
  <si>
    <t>KI7508709326</t>
  </si>
  <si>
    <t>KI9012185523</t>
  </si>
  <si>
    <t>ID7512525244</t>
  </si>
  <si>
    <t>LE7508475122</t>
  </si>
  <si>
    <t>KI9012189695</t>
  </si>
  <si>
    <t>RW0060921543</t>
  </si>
  <si>
    <t>KI9012183977</t>
  </si>
  <si>
    <t>ID9012004319</t>
  </si>
  <si>
    <t>QA7514361215</t>
  </si>
  <si>
    <t>ID9012009712</t>
  </si>
  <si>
    <t>JR9011800101</t>
  </si>
  <si>
    <t>KI9012182111</t>
  </si>
  <si>
    <t>KI7508656767</t>
  </si>
  <si>
    <t>Hold ATK At 11-10-25</t>
  </si>
  <si>
    <t>ATM069861829</t>
  </si>
  <si>
    <t>ATM069861828</t>
  </si>
  <si>
    <t>ATM069861827</t>
  </si>
  <si>
    <t>ATM069861824</t>
  </si>
  <si>
    <t>ATM069861826</t>
  </si>
  <si>
    <t>ATM069861823</t>
  </si>
  <si>
    <t>ATM069861822</t>
  </si>
  <si>
    <t>ATM069861833</t>
  </si>
  <si>
    <t>ATM069861821</t>
  </si>
  <si>
    <t>ATM069861832</t>
  </si>
  <si>
    <t>ATM069861820</t>
  </si>
  <si>
    <t>ATM069861819</t>
  </si>
  <si>
    <t>ATM069861831</t>
  </si>
  <si>
    <t>ATM069861825</t>
  </si>
  <si>
    <t>ATM069861830</t>
  </si>
  <si>
    <t>ATM069861816</t>
  </si>
  <si>
    <t>ATM069861953</t>
  </si>
  <si>
    <t>ATM069861946</t>
  </si>
  <si>
    <t>ATM069861950</t>
  </si>
  <si>
    <t>ATM069861813</t>
  </si>
  <si>
    <t>ATM069861812</t>
  </si>
  <si>
    <t>ATM069861818</t>
  </si>
  <si>
    <t>ATM069861951</t>
  </si>
  <si>
    <t>ATM069861814</t>
  </si>
  <si>
    <t>ATM069861938</t>
  </si>
  <si>
    <t>ATM069861815</t>
  </si>
  <si>
    <t>ATM069861939</t>
  </si>
  <si>
    <t>KRK</t>
  </si>
  <si>
    <t>ATM069861942</t>
  </si>
  <si>
    <t>ATM069861817</t>
  </si>
  <si>
    <t>ATM069861940</t>
  </si>
  <si>
    <t>SRA</t>
  </si>
  <si>
    <t>ATM069861810</t>
  </si>
  <si>
    <t>ATM069861937</t>
  </si>
  <si>
    <t>ATM069861941</t>
  </si>
  <si>
    <t>ATM069861934</t>
  </si>
  <si>
    <t>ATM069861947</t>
  </si>
  <si>
    <t>ATM069861935</t>
  </si>
  <si>
    <t>ATM069861809</t>
  </si>
  <si>
    <t>KHT</t>
  </si>
  <si>
    <t>ATM069861811</t>
  </si>
  <si>
    <t>ATM069861936</t>
  </si>
  <si>
    <t>ATM069861945</t>
  </si>
  <si>
    <t>ATM069861933</t>
  </si>
  <si>
    <t>ATM069861834</t>
  </si>
  <si>
    <t>LE7508466350</t>
  </si>
  <si>
    <t>Sr#</t>
  </si>
  <si>
    <t>Code - Name</t>
  </si>
  <si>
    <t>34707 - AKHTAR(MEHMOOD)</t>
  </si>
  <si>
    <t>42504 - ILYAS AHMED</t>
  </si>
  <si>
    <t>42506 - ZEESHAN HAZRO OFFICE</t>
  </si>
  <si>
    <t>44940 - ATIF MEHMOOD</t>
  </si>
  <si>
    <t>43040 - MUHAMMAD SHAWAIZ KHAN</t>
  </si>
  <si>
    <t>44120 - HUZAIFA KHAN</t>
  </si>
  <si>
    <t>42518 - ARSALAN MEHMOOD</t>
  </si>
  <si>
    <t>41958 - SAMMAR SIYAB</t>
  </si>
  <si>
    <t>38824 - ZEESHAN ALI SHAH</t>
  </si>
  <si>
    <t>08842 - SAJJAD AHMAD</t>
  </si>
  <si>
    <t>45805 - EHTISHAM UL HAQ</t>
  </si>
  <si>
    <t>08828 - USMAN SHIEKH</t>
  </si>
  <si>
    <t>39494 - ADNAN MASHI</t>
  </si>
  <si>
    <t>37502 - ZAIN ALI</t>
  </si>
  <si>
    <t>08859 - MAQSOOD PERVAIZ KAMRA AIRBASE</t>
  </si>
  <si>
    <t>08826 - GHAZI SELF</t>
  </si>
  <si>
    <t>ATM069861719</t>
  </si>
  <si>
    <t>ATM069861718</t>
  </si>
  <si>
    <t>ATM069861717</t>
  </si>
  <si>
    <t>ATM069861714</t>
  </si>
  <si>
    <t>ATM069861713</t>
  </si>
  <si>
    <t>ATM069861716</t>
  </si>
  <si>
    <t>ATM069861715</t>
  </si>
  <si>
    <t>ATM069861712</t>
  </si>
  <si>
    <t>ATM069861711</t>
  </si>
  <si>
    <t>ATM069861851</t>
  </si>
  <si>
    <t>ATM069861850</t>
  </si>
  <si>
    <t>ATM069861846</t>
  </si>
  <si>
    <t>ATM069861844</t>
  </si>
  <si>
    <t>ATM069861849</t>
  </si>
  <si>
    <t>ATM069861841</t>
  </si>
  <si>
    <t>ATM069861837</t>
  </si>
  <si>
    <t>SQM069783790</t>
  </si>
  <si>
    <t>ATM069861840</t>
  </si>
  <si>
    <t>ATM069861852</t>
  </si>
  <si>
    <t>QML</t>
  </si>
  <si>
    <t>ATM069861835</t>
  </si>
  <si>
    <t>BNU</t>
  </si>
  <si>
    <t>ATM069861948</t>
  </si>
  <si>
    <t>ATM069861856</t>
  </si>
  <si>
    <t>ATM069861843</t>
  </si>
  <si>
    <t>ATM069861853</t>
  </si>
  <si>
    <t>ATM069861943</t>
  </si>
  <si>
    <t>IDM069799598</t>
  </si>
  <si>
    <t>ATM069861854</t>
  </si>
  <si>
    <t>ATM069861949</t>
  </si>
  <si>
    <t>ATM069861847</t>
  </si>
  <si>
    <t>ATM069861842</t>
  </si>
  <si>
    <t>ATM069861838</t>
  </si>
  <si>
    <t>ATM069861836</t>
  </si>
  <si>
    <t>ATM069861845</t>
  </si>
  <si>
    <t>ATM069861855</t>
  </si>
  <si>
    <t>ATM069861839</t>
  </si>
  <si>
    <t>ATM069861848</t>
  </si>
  <si>
    <t>ATM069861944</t>
  </si>
  <si>
    <t>ATM069861952</t>
  </si>
  <si>
    <t>KI9012001430</t>
  </si>
  <si>
    <t>MX9012003365</t>
  </si>
  <si>
    <t>LE9012004108</t>
  </si>
  <si>
    <t>LE9012005852</t>
  </si>
  <si>
    <t>KI9012004076</t>
  </si>
  <si>
    <t>KI9012002279</t>
  </si>
  <si>
    <t>KI9012002964</t>
  </si>
  <si>
    <t>KI7508736846</t>
  </si>
  <si>
    <t>KI9012003640</t>
  </si>
  <si>
    <t>KI9012179049</t>
  </si>
  <si>
    <t>KI9012001568</t>
  </si>
  <si>
    <t>KI9012198006</t>
  </si>
  <si>
    <t>KI9012004815</t>
  </si>
  <si>
    <t>KI9012197332</t>
  </si>
  <si>
    <t>KI9012199036</t>
  </si>
  <si>
    <t>KI7508740684</t>
  </si>
  <si>
    <t>KI9012193578</t>
  </si>
  <si>
    <t>KI9012199979</t>
  </si>
  <si>
    <t>KI7500301506</t>
  </si>
  <si>
    <t>LE9012199236</t>
  </si>
  <si>
    <t>KI9012001854</t>
  </si>
  <si>
    <t>MX7512748064</t>
  </si>
  <si>
    <t>LE9012008728</t>
  </si>
  <si>
    <t>FS7512377417</t>
  </si>
  <si>
    <t>SZ7513631237</t>
  </si>
  <si>
    <t>KI9012189191</t>
  </si>
  <si>
    <t>KI9012002760</t>
  </si>
  <si>
    <t>LE7508471802</t>
  </si>
  <si>
    <t>KI9012199118</t>
  </si>
  <si>
    <t>KI9012000041</t>
  </si>
  <si>
    <t>KI9012188902</t>
  </si>
  <si>
    <t>KI9012005074</t>
  </si>
  <si>
    <t>KI9012198806</t>
  </si>
  <si>
    <t>LE9012178146</t>
  </si>
  <si>
    <t>LE9012000773</t>
  </si>
  <si>
    <t>KI7500302683</t>
  </si>
  <si>
    <t>KA7514318162</t>
  </si>
  <si>
    <t>KI7508713009</t>
  </si>
  <si>
    <t>FS7512095414</t>
  </si>
  <si>
    <t>LE9012193063</t>
  </si>
  <si>
    <t>MX7512750655</t>
  </si>
  <si>
    <t>KI7508708997</t>
  </si>
  <si>
    <t>KI9012004476</t>
  </si>
  <si>
    <t>LY7507588212</t>
  </si>
  <si>
    <t>ID9012189907</t>
  </si>
  <si>
    <t>LE7508489777</t>
  </si>
  <si>
    <t>KA7514318181</t>
  </si>
  <si>
    <t>KI7508721849</t>
  </si>
  <si>
    <t>FS7512077781</t>
  </si>
  <si>
    <t>ID7512528413</t>
  </si>
  <si>
    <t>PW9012013385</t>
  </si>
  <si>
    <t>FS7512069023</t>
  </si>
  <si>
    <t>ID9011560532</t>
  </si>
  <si>
    <t>LE7508486569</t>
  </si>
  <si>
    <t>ID9012013271</t>
  </si>
  <si>
    <t>LE9012176108</t>
  </si>
  <si>
    <t>LE9012008550</t>
  </si>
  <si>
    <t>KI9012198652</t>
  </si>
  <si>
    <t>LE9012180118</t>
  </si>
  <si>
    <t>KI7508716388</t>
  </si>
  <si>
    <t>KI7508708281</t>
  </si>
  <si>
    <t>LE9012192838</t>
  </si>
  <si>
    <t>KI9012199280</t>
  </si>
  <si>
    <t>KI7508725782</t>
  </si>
  <si>
    <t>KI9012004323</t>
  </si>
  <si>
    <t>KI9012174873</t>
  </si>
  <si>
    <t>LE9012008265</t>
  </si>
  <si>
    <t>KI7508733416</t>
  </si>
  <si>
    <t>FS7512068958</t>
  </si>
  <si>
    <t>KI7508702475</t>
  </si>
  <si>
    <t>PW9012013384</t>
  </si>
  <si>
    <t>LE9012197459</t>
  </si>
  <si>
    <t>KI9012004475</t>
  </si>
  <si>
    <t>KI7508693921</t>
  </si>
  <si>
    <t>KI7508725273</t>
  </si>
  <si>
    <t>LE9012179523</t>
  </si>
  <si>
    <t>LE9012194420</t>
  </si>
  <si>
    <t>FS7511999180</t>
  </si>
  <si>
    <t>FS9012001175</t>
  </si>
  <si>
    <t>LE9012192218</t>
  </si>
  <si>
    <t>MX9012017034</t>
  </si>
  <si>
    <t>LE9012194460</t>
  </si>
  <si>
    <t>KI7508725921</t>
  </si>
  <si>
    <t>FS7512092656</t>
  </si>
  <si>
    <t>KI7508702422</t>
  </si>
  <si>
    <t>KI7508716336</t>
  </si>
  <si>
    <t>FS7512010155</t>
  </si>
  <si>
    <t>LE7508494322</t>
  </si>
  <si>
    <t>PW9012003870</t>
  </si>
  <si>
    <t>LE9012002245</t>
  </si>
  <si>
    <t>KL7513990526</t>
  </si>
  <si>
    <t>Hold ATK At 13-10-25</t>
  </si>
  <si>
    <t>Urgent Delivery Required %</t>
  </si>
  <si>
    <t xml:space="preserve">44940 - Muhammad Junaid </t>
  </si>
  <si>
    <t>LE9012007823</t>
  </si>
  <si>
    <t>FS7512140314</t>
  </si>
  <si>
    <t>FS7512381732</t>
  </si>
  <si>
    <t>LE7510109968</t>
  </si>
  <si>
    <t>LE9012008999</t>
  </si>
  <si>
    <t>HD7514720317</t>
  </si>
  <si>
    <t>KI7508795674</t>
  </si>
  <si>
    <t>LE9012004219</t>
  </si>
  <si>
    <t>KI9012028146</t>
  </si>
  <si>
    <t>LE9012008499</t>
  </si>
  <si>
    <t>KI9012041824</t>
  </si>
  <si>
    <t>KI9012028287</t>
  </si>
  <si>
    <t>FS9012044362</t>
  </si>
  <si>
    <t>LE7508507793</t>
  </si>
  <si>
    <t>KI7500305490</t>
  </si>
  <si>
    <t>KI9012021088</t>
  </si>
  <si>
    <t>FS7512125279</t>
  </si>
  <si>
    <t>KA7514319104</t>
  </si>
  <si>
    <t>RW7507292390</t>
  </si>
  <si>
    <t>LE0060781445</t>
  </si>
  <si>
    <t>KI9012039268</t>
  </si>
  <si>
    <t>KI9012043622</t>
  </si>
  <si>
    <t>WZ7504152093</t>
  </si>
  <si>
    <t>LE9012012302</t>
  </si>
  <si>
    <t>LE7508499372</t>
  </si>
  <si>
    <t>RW7507294445</t>
  </si>
  <si>
    <t>LE7510093339</t>
  </si>
  <si>
    <t>FS7512132807</t>
  </si>
  <si>
    <t>KI9012033656</t>
  </si>
  <si>
    <t>KI9012046563</t>
  </si>
  <si>
    <t>RN9012031175</t>
  </si>
  <si>
    <t>KI7508847041</t>
  </si>
  <si>
    <t>KI9012028508</t>
  </si>
  <si>
    <t>LE9012035176</t>
  </si>
  <si>
    <t>KI9012020981</t>
  </si>
  <si>
    <t>LE7508507735</t>
  </si>
  <si>
    <t>LE9012003886</t>
  </si>
  <si>
    <t>KI9012022267</t>
  </si>
  <si>
    <t>ID7512535769</t>
  </si>
  <si>
    <t>LE9012019810</t>
  </si>
  <si>
    <t>VR7503501101</t>
  </si>
  <si>
    <t>LE9012012985</t>
  </si>
  <si>
    <t>KI9012030592</t>
  </si>
  <si>
    <t>KI9012023006</t>
  </si>
  <si>
    <t>KI9012026438</t>
  </si>
  <si>
    <t>LE9012016574</t>
  </si>
  <si>
    <t>FS9012016588</t>
  </si>
  <si>
    <t>KI7508864206</t>
  </si>
  <si>
    <t>LE7508521467</t>
  </si>
  <si>
    <t>KI9012033807</t>
  </si>
  <si>
    <t>LE9012008538</t>
  </si>
  <si>
    <t>LE7508535072</t>
  </si>
  <si>
    <t>KI9012020750</t>
  </si>
  <si>
    <t>LE7508469986</t>
  </si>
  <si>
    <t>KI9012028801</t>
  </si>
  <si>
    <t>MX9012052287</t>
  </si>
  <si>
    <t>FS7512157148</t>
  </si>
  <si>
    <t>KI9012031336</t>
  </si>
  <si>
    <t>LE0060896768</t>
  </si>
  <si>
    <t>FS7512133099</t>
  </si>
  <si>
    <t>KI7508845203</t>
  </si>
  <si>
    <t>FS7512137720</t>
  </si>
  <si>
    <t>KI9012030552</t>
  </si>
  <si>
    <t>KI9012050297</t>
  </si>
  <si>
    <t>KI9012023236</t>
  </si>
  <si>
    <t>KI7500315220</t>
  </si>
  <si>
    <t>KI9012042210</t>
  </si>
  <si>
    <t>FS7512129469</t>
  </si>
  <si>
    <t>FS9012039677</t>
  </si>
  <si>
    <t>FS9012047734</t>
  </si>
  <si>
    <t>KI9012039284</t>
  </si>
  <si>
    <t>FS9012037323</t>
  </si>
  <si>
    <t>KI9012023866</t>
  </si>
  <si>
    <t>KI7508774404</t>
  </si>
  <si>
    <t>LE7508500198</t>
  </si>
  <si>
    <t>KI9012040035</t>
  </si>
  <si>
    <t>LE7508516788</t>
  </si>
  <si>
    <t>KI9012021219</t>
  </si>
  <si>
    <t>LE7510106808</t>
  </si>
  <si>
    <t>LE7510100051</t>
  </si>
  <si>
    <t>KI9012028565</t>
  </si>
  <si>
    <t>LE9012001227</t>
  </si>
  <si>
    <t>FS9012048121</t>
  </si>
  <si>
    <t>FS7512133266</t>
  </si>
  <si>
    <t>LE9012011033</t>
  </si>
  <si>
    <t>FS7512133705</t>
  </si>
  <si>
    <t>LE7508533127</t>
  </si>
  <si>
    <t>FS7512118966</t>
  </si>
  <si>
    <t>LE9012007448</t>
  </si>
  <si>
    <t>KI9012036302</t>
  </si>
  <si>
    <t>FS7512135834</t>
  </si>
  <si>
    <t>ID7501542417</t>
  </si>
  <si>
    <t>KI7508831271</t>
  </si>
  <si>
    <t>KI9012027190</t>
  </si>
  <si>
    <t>KI7508829361</t>
  </si>
  <si>
    <t>JM7514162904</t>
  </si>
  <si>
    <t>KI9012037945</t>
  </si>
  <si>
    <t>LE9012007481</t>
  </si>
  <si>
    <t>KI9012031747</t>
  </si>
  <si>
    <t>SL7507525590</t>
  </si>
  <si>
    <t>ID9012052376</t>
  </si>
  <si>
    <t>KI7500316780</t>
  </si>
  <si>
    <t>KI9012032699</t>
  </si>
  <si>
    <t>PW7513559908</t>
  </si>
  <si>
    <t>LE7508499453</t>
  </si>
  <si>
    <t>KI7508802400</t>
  </si>
  <si>
    <t>FS7512136138</t>
  </si>
  <si>
    <t>ID7512533011</t>
  </si>
  <si>
    <t>KI9012024382</t>
  </si>
  <si>
    <t>KI7508818733</t>
  </si>
  <si>
    <t>LE7508504066</t>
  </si>
  <si>
    <t>KI9012037503</t>
  </si>
  <si>
    <t>KI7508760023</t>
  </si>
  <si>
    <t>KI9012032131</t>
  </si>
  <si>
    <t>KI9012039296</t>
  </si>
  <si>
    <t>LE9012000139</t>
  </si>
  <si>
    <t>SA7507888272</t>
  </si>
  <si>
    <t>KI9012024416</t>
  </si>
  <si>
    <t>SW9012042596</t>
  </si>
  <si>
    <t>KI9012031713</t>
  </si>
  <si>
    <t>DG9011817474</t>
  </si>
  <si>
    <t>UE7503405621</t>
  </si>
  <si>
    <t>FS9012038283</t>
  </si>
  <si>
    <t>KI9012041114</t>
  </si>
  <si>
    <t>FS7512383325</t>
  </si>
  <si>
    <t>SJ9011805890</t>
  </si>
  <si>
    <t>FS7512128382</t>
  </si>
  <si>
    <t>FS7512136064</t>
  </si>
  <si>
    <t>LE7508509316</t>
  </si>
  <si>
    <t>PW7513553341</t>
  </si>
  <si>
    <t>OK7514466752</t>
  </si>
  <si>
    <t>FS7512135844</t>
  </si>
  <si>
    <t>SD7507949082</t>
  </si>
  <si>
    <t>KI7508767079</t>
  </si>
  <si>
    <t>KS7514341974</t>
  </si>
  <si>
    <t>KI9012037247</t>
  </si>
  <si>
    <t>MX9012052285</t>
  </si>
  <si>
    <t>KI7508819941</t>
  </si>
  <si>
    <t>KI9012043075</t>
  </si>
  <si>
    <t>CD7503606770</t>
  </si>
  <si>
    <t>FS7512150910</t>
  </si>
  <si>
    <t>FS9012033773</t>
  </si>
  <si>
    <t>MG7507560862</t>
  </si>
  <si>
    <t>ST9011811446</t>
  </si>
  <si>
    <t>SA7514143031</t>
  </si>
  <si>
    <t>KI9012002419</t>
  </si>
  <si>
    <t>KI7508679047</t>
  </si>
  <si>
    <t>RR7503681458</t>
  </si>
  <si>
    <t>FS9012053054</t>
  </si>
  <si>
    <t>FS9012037636</t>
  </si>
  <si>
    <t>KI9012025499</t>
  </si>
  <si>
    <t>AB7507599109</t>
  </si>
  <si>
    <t>RN9012042874</t>
  </si>
  <si>
    <t>KI7508750996</t>
  </si>
  <si>
    <t>KI7508825199</t>
  </si>
  <si>
    <t>KI9012016171</t>
  </si>
  <si>
    <t>LE7508497662</t>
  </si>
  <si>
    <t>KI9012023548</t>
  </si>
  <si>
    <t>KI9012023173</t>
  </si>
  <si>
    <t>FS7512144448</t>
  </si>
  <si>
    <t>FS7512123243</t>
  </si>
  <si>
    <t>FS7512156189</t>
  </si>
  <si>
    <t>FS9012033986</t>
  </si>
  <si>
    <t>OK7514466883</t>
  </si>
  <si>
    <t>KI9012020985</t>
  </si>
  <si>
    <t>RN9012045122</t>
  </si>
  <si>
    <t>JM7514162914</t>
  </si>
  <si>
    <t>FS7512154947</t>
  </si>
  <si>
    <t>RW7507302883</t>
  </si>
  <si>
    <t>KI7508568450</t>
  </si>
  <si>
    <t>SA9012033683</t>
  </si>
  <si>
    <t>KI7508872913</t>
  </si>
  <si>
    <t>AM7513838255</t>
  </si>
  <si>
    <t>JG7503726455</t>
  </si>
  <si>
    <t>OK0060713531</t>
  </si>
  <si>
    <t>MX7512996895</t>
  </si>
  <si>
    <t>MC9012045183</t>
  </si>
  <si>
    <t>FS7512122131</t>
  </si>
  <si>
    <t>FS7512128269</t>
  </si>
  <si>
    <t>FS7512109895</t>
  </si>
  <si>
    <t>KI7508863071</t>
  </si>
  <si>
    <t>LE9012032757</t>
  </si>
  <si>
    <t>MX7512760220</t>
  </si>
  <si>
    <t>LE9012039730</t>
  </si>
  <si>
    <t>NO9011923073</t>
  </si>
  <si>
    <t>FS7512157728</t>
  </si>
  <si>
    <t>FS7512140326</t>
  </si>
  <si>
    <t>MX7512754420</t>
  </si>
  <si>
    <t>FS9012048432</t>
  </si>
  <si>
    <t>PW7513556273</t>
  </si>
  <si>
    <t>FS7512384968</t>
  </si>
  <si>
    <t>KI7508848895</t>
  </si>
  <si>
    <t>KI9012135853</t>
  </si>
  <si>
    <t>KI9012036101</t>
  </si>
  <si>
    <t>KI7508864058</t>
  </si>
  <si>
    <t>PW9012024625</t>
  </si>
  <si>
    <t>KI7508788742</t>
  </si>
  <si>
    <t>LE7508524369</t>
  </si>
  <si>
    <t>KI9012029996</t>
  </si>
  <si>
    <t>FS7512155255</t>
  </si>
  <si>
    <t>FS7512133055</t>
  </si>
  <si>
    <t>LE9012040625</t>
  </si>
  <si>
    <t>Hold ATK At 16-10-25</t>
  </si>
  <si>
    <t>KI7508857679</t>
  </si>
  <si>
    <t>27744 - AYAZ HUSSAIN SHAH</t>
  </si>
  <si>
    <t>KI7500315447</t>
  </si>
  <si>
    <t>Shawaiz</t>
  </si>
  <si>
    <t>LE7510095684</t>
  </si>
  <si>
    <t>KI7508811322</t>
  </si>
  <si>
    <t>KI9012048128</t>
  </si>
  <si>
    <t>FS7512156310</t>
  </si>
  <si>
    <t>LE9012013869</t>
  </si>
  <si>
    <t>LE9012019964</t>
  </si>
  <si>
    <t>LE7508529410</t>
  </si>
  <si>
    <t>OK7514367814</t>
  </si>
  <si>
    <t>LE9012010195</t>
  </si>
  <si>
    <t>ID9011565495</t>
  </si>
  <si>
    <t>LE9012028728</t>
  </si>
  <si>
    <t>RW7507302366</t>
  </si>
  <si>
    <t>PW7513558965</t>
  </si>
  <si>
    <t>KI9012038036</t>
  </si>
  <si>
    <t>ID9011569696</t>
  </si>
  <si>
    <t>LE9012015103</t>
  </si>
  <si>
    <t>KI9012050189</t>
  </si>
  <si>
    <t>FS7512116634</t>
  </si>
  <si>
    <t>KI9012050049</t>
  </si>
  <si>
    <t>LE9012018807</t>
  </si>
  <si>
    <t>KI7508882528</t>
  </si>
  <si>
    <t>SA7514149895</t>
  </si>
  <si>
    <t>KI9012056234</t>
  </si>
  <si>
    <t>ID9011567452</t>
  </si>
  <si>
    <t>ID9011565756</t>
  </si>
  <si>
    <t>FS7512158170</t>
  </si>
  <si>
    <t>PW7513559590</t>
  </si>
  <si>
    <t>FS9012053923</t>
  </si>
  <si>
    <t>KI7508854179</t>
  </si>
  <si>
    <t>KI9012047206</t>
  </si>
  <si>
    <t>LE7508493969</t>
  </si>
  <si>
    <t>FS7512098378</t>
  </si>
  <si>
    <t>ID7512534992</t>
  </si>
  <si>
    <t>LE7508522981</t>
  </si>
  <si>
    <t>KI9012037910</t>
  </si>
  <si>
    <t>KI7508781491</t>
  </si>
  <si>
    <t>LE7510099811</t>
  </si>
  <si>
    <t>KI7500308214</t>
  </si>
  <si>
    <t>FS7512115930</t>
  </si>
  <si>
    <t>PW7513559325</t>
  </si>
  <si>
    <t>KI9012050284</t>
  </si>
  <si>
    <t>FS7512152387</t>
  </si>
  <si>
    <t>LE7508504990</t>
  </si>
  <si>
    <t>KI9012044060</t>
  </si>
  <si>
    <t>FS7512382062</t>
  </si>
  <si>
    <t>KI9012049827</t>
  </si>
  <si>
    <t>LE9012046806</t>
  </si>
  <si>
    <t>LE9012058756</t>
  </si>
  <si>
    <t>RN7514617113</t>
  </si>
  <si>
    <t>AM7513839274</t>
  </si>
  <si>
    <t>KI7500319079</t>
  </si>
  <si>
    <t>KI0065325313</t>
  </si>
  <si>
    <t>TT0060889282</t>
  </si>
  <si>
    <t>BW7513891591</t>
  </si>
  <si>
    <t>ID9011566134</t>
  </si>
  <si>
    <t>ID9011570725</t>
  </si>
  <si>
    <t>LE9012018602</t>
  </si>
  <si>
    <t>QD9011808879</t>
  </si>
  <si>
    <t>KI7508868003</t>
  </si>
  <si>
    <t>LE9012033189</t>
  </si>
  <si>
    <t>KI9012032247</t>
  </si>
  <si>
    <t>MM7505089504</t>
  </si>
  <si>
    <t>KI7508863070</t>
  </si>
  <si>
    <t>LE9012044700</t>
  </si>
  <si>
    <t>KI9012058084</t>
  </si>
  <si>
    <t>ID9011570317</t>
  </si>
  <si>
    <t>KI9012055027</t>
  </si>
  <si>
    <t>ID9012061060</t>
  </si>
  <si>
    <t>LE9012012602</t>
  </si>
  <si>
    <t>RN9012066618</t>
  </si>
  <si>
    <t>LE9012045534</t>
  </si>
  <si>
    <t>ID9011565150</t>
  </si>
  <si>
    <t>KI9012039099</t>
  </si>
  <si>
    <t>ID9011570664</t>
  </si>
  <si>
    <t>LE9012020049</t>
  </si>
  <si>
    <t>LE9012024819</t>
  </si>
  <si>
    <t>AM7513841183</t>
  </si>
  <si>
    <t>RW7507304543</t>
  </si>
  <si>
    <t>JD7504340920</t>
  </si>
  <si>
    <t>LE9012038701</t>
  </si>
  <si>
    <t>LE9012026811</t>
  </si>
  <si>
    <t>KI9012009222</t>
  </si>
  <si>
    <t>KI9012048376</t>
  </si>
  <si>
    <t>AL9012052493</t>
  </si>
  <si>
    <t>ID9011570815</t>
  </si>
  <si>
    <t>MM9011815213</t>
  </si>
  <si>
    <t>ID9011569709</t>
  </si>
  <si>
    <t>AM7513838507</t>
  </si>
  <si>
    <t>BW9012030671</t>
  </si>
  <si>
    <t>KI7508872722</t>
  </si>
  <si>
    <t>LE9012013768</t>
  </si>
  <si>
    <t>LE9012025562</t>
  </si>
  <si>
    <t>LE9012050526</t>
  </si>
  <si>
    <t>KI7508890807</t>
  </si>
  <si>
    <t>ID9011568299</t>
  </si>
  <si>
    <t>BW7513892388</t>
  </si>
  <si>
    <t>KI9012053918</t>
  </si>
  <si>
    <t>RW7507299438</t>
  </si>
  <si>
    <t>KI9012031156</t>
  </si>
  <si>
    <t>LE9012028730</t>
  </si>
  <si>
    <t>KI9012049764</t>
  </si>
  <si>
    <t>LE9012021555</t>
  </si>
  <si>
    <t>KI9012045197</t>
  </si>
  <si>
    <t>LE7508524999</t>
  </si>
  <si>
    <t>ID9011570783</t>
  </si>
  <si>
    <t>BW7513891458</t>
  </si>
  <si>
    <t>CC7503198101</t>
  </si>
  <si>
    <t>RW7507304160</t>
  </si>
  <si>
    <t>LE9012044465</t>
  </si>
  <si>
    <t>PW7513559300</t>
  </si>
  <si>
    <t>DA7507835770</t>
  </si>
  <si>
    <t>LE9012049005</t>
  </si>
  <si>
    <t>LE9012044535</t>
  </si>
  <si>
    <t>KI9012051696</t>
  </si>
  <si>
    <t>LE9012036277</t>
  </si>
  <si>
    <t>SJ9011924468</t>
  </si>
  <si>
    <t>LE9012027967</t>
  </si>
  <si>
    <t>LE9012012199</t>
  </si>
  <si>
    <t>FS7512166339</t>
  </si>
  <si>
    <t>RN9012052194</t>
  </si>
  <si>
    <t>FS9012054332</t>
  </si>
  <si>
    <t>KI9012062450</t>
  </si>
  <si>
    <t>LE7510112801</t>
  </si>
  <si>
    <t>Hold ATK At 18-10-25</t>
  </si>
  <si>
    <t>FS7512166142</t>
  </si>
  <si>
    <t>FS7512158644</t>
  </si>
  <si>
    <t>LE7501240367</t>
  </si>
  <si>
    <t>LE7510140691</t>
  </si>
  <si>
    <t>MX7512759021</t>
  </si>
  <si>
    <t>OK7514368425</t>
  </si>
  <si>
    <t>GW7514771974</t>
  </si>
  <si>
    <t xml:space="preserve">Umer </t>
  </si>
  <si>
    <t>LE7510168420</t>
  </si>
  <si>
    <t>FS7512392765</t>
  </si>
  <si>
    <t>SL7507530831</t>
  </si>
  <si>
    <t>SA7507890051</t>
  </si>
  <si>
    <t>BW7513894030</t>
  </si>
  <si>
    <t>JG7503726851</t>
  </si>
  <si>
    <t>KI7508923495</t>
  </si>
  <si>
    <t>LE7510166870</t>
  </si>
  <si>
    <t>CN</t>
  </si>
  <si>
    <t>LE7508466466</t>
  </si>
  <si>
    <t>KI7508707326</t>
  </si>
  <si>
    <t>KI7508941682</t>
  </si>
  <si>
    <t>JR9011924433</t>
  </si>
  <si>
    <t>AT7504326516</t>
  </si>
  <si>
    <t>JC9011936672</t>
  </si>
  <si>
    <t>KI7508958623</t>
  </si>
  <si>
    <t>FS7512185287</t>
  </si>
  <si>
    <t>MX7512768284</t>
  </si>
  <si>
    <t>MN7513092071</t>
  </si>
  <si>
    <t>LE9012072538</t>
  </si>
  <si>
    <t>LE9012077488</t>
  </si>
  <si>
    <t>RW0060943372</t>
  </si>
  <si>
    <t>SL7507529894</t>
  </si>
  <si>
    <t>LE9012079231</t>
  </si>
  <si>
    <t>LE9012078257</t>
  </si>
  <si>
    <t>RW7515004093</t>
  </si>
  <si>
    <t>LE9012078256</t>
  </si>
  <si>
    <t>LE7510174040</t>
  </si>
  <si>
    <t>LE9012075505</t>
  </si>
  <si>
    <t>LE9012085910</t>
  </si>
  <si>
    <t>MC7503298582</t>
  </si>
  <si>
    <t>LE9012079392</t>
  </si>
  <si>
    <t>LE0060902419</t>
  </si>
  <si>
    <t>LE7510171844</t>
  </si>
  <si>
    <t>LE9012072879</t>
  </si>
  <si>
    <t>LE9012067292</t>
  </si>
  <si>
    <t>LE9012078422</t>
  </si>
  <si>
    <t>PW7513563817</t>
  </si>
  <si>
    <t>KI7508977474</t>
  </si>
  <si>
    <t>WC7506798652</t>
  </si>
  <si>
    <t>WC7506798635</t>
  </si>
  <si>
    <t>LE9012077989</t>
  </si>
  <si>
    <t>KI7508960844</t>
  </si>
  <si>
    <t>FS7512157406</t>
  </si>
  <si>
    <t>LE9011924940</t>
  </si>
  <si>
    <t>KI9012060664</t>
  </si>
  <si>
    <t>KI7508952335</t>
  </si>
  <si>
    <t>KI7500313230</t>
  </si>
  <si>
    <t>LE9012060835</t>
  </si>
  <si>
    <t>LE7510162468</t>
  </si>
  <si>
    <t>LY7507588804</t>
  </si>
  <si>
    <t>KI7508958105</t>
  </si>
  <si>
    <t>KI7508980100</t>
  </si>
  <si>
    <t>GW7514772953</t>
  </si>
  <si>
    <t>SL7508019296</t>
  </si>
  <si>
    <t>FS7512183640</t>
  </si>
  <si>
    <t>FS7512194685</t>
  </si>
  <si>
    <t>LE7508494187</t>
  </si>
  <si>
    <t>JD7504341082</t>
  </si>
  <si>
    <t>KI7500323001</t>
  </si>
  <si>
    <t>ID7512540429</t>
  </si>
  <si>
    <t>KI7508861469</t>
  </si>
  <si>
    <t>LE9012061753</t>
  </si>
  <si>
    <t>PW9012077887</t>
  </si>
  <si>
    <t>LE9012064660</t>
  </si>
  <si>
    <t>LE7510162859</t>
  </si>
  <si>
    <t>KI9012068396</t>
  </si>
  <si>
    <t>LE7510162155</t>
  </si>
  <si>
    <t>LE7510152091</t>
  </si>
  <si>
    <t>ID9011571501</t>
  </si>
  <si>
    <t>FS7512189841</t>
  </si>
  <si>
    <t>KI7508944045</t>
  </si>
  <si>
    <t>FS7512192316</t>
  </si>
  <si>
    <t>KI7500328207</t>
  </si>
  <si>
    <t>KI9012071998</t>
  </si>
  <si>
    <t>LE9012073624</t>
  </si>
  <si>
    <t>KI9012066915</t>
  </si>
  <si>
    <t>FS7512193580</t>
  </si>
  <si>
    <t>MN7513089363</t>
  </si>
  <si>
    <t>LE9012062920</t>
  </si>
  <si>
    <t>ID9012086650</t>
  </si>
  <si>
    <t>KI0065279358</t>
  </si>
  <si>
    <t>LE9012070242</t>
  </si>
  <si>
    <t>KI7508940346</t>
  </si>
  <si>
    <t>KI9012071591</t>
  </si>
  <si>
    <t>LE9012072803</t>
  </si>
  <si>
    <t>ID9011572622</t>
  </si>
  <si>
    <t>KA9011933971</t>
  </si>
  <si>
    <t>LE9012061808</t>
  </si>
  <si>
    <t>LE7510164877</t>
  </si>
  <si>
    <t>FS7512198473</t>
  </si>
  <si>
    <t>LE9012071707</t>
  </si>
  <si>
    <t>LE9012072123</t>
  </si>
  <si>
    <t>AB7507599757</t>
  </si>
  <si>
    <t>LE9012060027</t>
  </si>
  <si>
    <t>LE9012064486</t>
  </si>
  <si>
    <t>MX7512997869</t>
  </si>
  <si>
    <t>KI7508859208</t>
  </si>
  <si>
    <t>PW9012083014</t>
  </si>
  <si>
    <t>LE9012062055</t>
  </si>
  <si>
    <t>LE9012057764</t>
  </si>
  <si>
    <t>KI7508941466</t>
  </si>
  <si>
    <t>ID7512545870</t>
  </si>
  <si>
    <t>LK9012077171</t>
  </si>
  <si>
    <t>RN9012068415</t>
  </si>
  <si>
    <t>LE7510147633</t>
  </si>
  <si>
    <t>LE9012031980</t>
  </si>
  <si>
    <t>PW7513563727</t>
  </si>
  <si>
    <t>LE7510163236</t>
  </si>
  <si>
    <t>LE9012064574</t>
  </si>
  <si>
    <t>KI9012064232</t>
  </si>
  <si>
    <t>LE7510169109</t>
  </si>
  <si>
    <t>KI7508860050</t>
  </si>
  <si>
    <t>KI7508972952</t>
  </si>
  <si>
    <t>FS7512192522</t>
  </si>
  <si>
    <t>FS7512170629</t>
  </si>
  <si>
    <t>ID9011571468</t>
  </si>
  <si>
    <t>LE9012070626</t>
  </si>
  <si>
    <t>LE9012059816</t>
  </si>
  <si>
    <t>MX9012078437</t>
  </si>
  <si>
    <t>PW7513555875</t>
  </si>
  <si>
    <t>ID9012047819</t>
  </si>
  <si>
    <t>ID9011572789</t>
  </si>
  <si>
    <t>ID7512548134</t>
  </si>
  <si>
    <t>KI7508900051</t>
  </si>
  <si>
    <t>KI9012070781</t>
  </si>
  <si>
    <t>LE9012072139</t>
  </si>
  <si>
    <t>KI9012063451</t>
  </si>
  <si>
    <t>LE9012059137</t>
  </si>
  <si>
    <t>KI7508940345</t>
  </si>
  <si>
    <t>KI7508773894</t>
  </si>
  <si>
    <t>FS7512359958</t>
  </si>
  <si>
    <t>KI7508729155</t>
  </si>
  <si>
    <t>FS7512182942</t>
  </si>
  <si>
    <t>OK7514368767</t>
  </si>
  <si>
    <t>KI7508966303</t>
  </si>
  <si>
    <t>SZ7513632472</t>
  </si>
  <si>
    <t>KI7508953126</t>
  </si>
  <si>
    <t>MX7512765442</t>
  </si>
  <si>
    <t>FS7512196113</t>
  </si>
  <si>
    <t>RW7502482187</t>
  </si>
  <si>
    <t>RW7502482139</t>
  </si>
  <si>
    <t>KI9012068405</t>
  </si>
  <si>
    <t>SA7514080668</t>
  </si>
  <si>
    <t>HD7514723328</t>
  </si>
  <si>
    <t>LE7510149418</t>
  </si>
  <si>
    <t>LE7508431117</t>
  </si>
  <si>
    <t>FS7512191190</t>
  </si>
  <si>
    <t>FS7512195730</t>
  </si>
  <si>
    <t>FS7512178617</t>
  </si>
  <si>
    <t>PW7513562009</t>
  </si>
  <si>
    <t>FS7512181899</t>
  </si>
  <si>
    <t>RW0060928563</t>
  </si>
  <si>
    <t>FS7512205815</t>
  </si>
  <si>
    <t>DP7508562532</t>
  </si>
  <si>
    <t>KI7508910947</t>
  </si>
  <si>
    <t>LE7501239756</t>
  </si>
  <si>
    <t>FS7512113051</t>
  </si>
  <si>
    <t>SA7514077412</t>
  </si>
  <si>
    <t>LE7510112924</t>
  </si>
  <si>
    <t>MX7512760375</t>
  </si>
  <si>
    <t>MM9011779282</t>
  </si>
  <si>
    <t>SQ7503446813</t>
  </si>
  <si>
    <t>KI7508931290</t>
  </si>
  <si>
    <t>RW7502482129</t>
  </si>
  <si>
    <t>LE7510102745</t>
  </si>
  <si>
    <t>LE7510170802</t>
  </si>
  <si>
    <t>RY7506830876</t>
  </si>
  <si>
    <t>FS7512174099</t>
  </si>
  <si>
    <t>FS7512117829</t>
  </si>
  <si>
    <t>FS7512176956</t>
  </si>
  <si>
    <t>GT7514190272</t>
  </si>
  <si>
    <t>FS7512202333</t>
  </si>
  <si>
    <t>JR7513596915</t>
  </si>
  <si>
    <t>MX7512766748</t>
  </si>
  <si>
    <t>OK7514472858</t>
  </si>
  <si>
    <t>KI9012059870</t>
  </si>
  <si>
    <t>KP7514170234</t>
  </si>
  <si>
    <t>FS7512206387</t>
  </si>
  <si>
    <t>SA7514080507</t>
  </si>
  <si>
    <t>KL7513698931</t>
  </si>
  <si>
    <t>KI7508954054</t>
  </si>
  <si>
    <t>FS7512134829</t>
  </si>
  <si>
    <t>FS7512193417</t>
  </si>
  <si>
    <t>LE7510169510</t>
  </si>
  <si>
    <t>KI7508868332</t>
  </si>
  <si>
    <t>KI9012067181</t>
  </si>
  <si>
    <t>KI7508946991</t>
  </si>
  <si>
    <t>FS7512167699</t>
  </si>
  <si>
    <t>LE7508485375</t>
  </si>
  <si>
    <t>LO7504252605</t>
  </si>
  <si>
    <t>FS7512120853</t>
  </si>
  <si>
    <t>KI7508912840</t>
  </si>
  <si>
    <t>KI7508939255</t>
  </si>
  <si>
    <t>MX7512767226</t>
  </si>
  <si>
    <t>KI7508908701</t>
  </si>
  <si>
    <t>LE9012067651</t>
  </si>
  <si>
    <t>GT9011033111</t>
  </si>
  <si>
    <t>KI7500324812</t>
  </si>
  <si>
    <t>PW7513562102</t>
  </si>
  <si>
    <t>KI7508932684</t>
  </si>
  <si>
    <t>LE7510128366</t>
  </si>
  <si>
    <t>BA0060845277</t>
  </si>
  <si>
    <t>FS9012059469</t>
  </si>
  <si>
    <t>FS9012071095</t>
  </si>
  <si>
    <t>GW7514766316</t>
  </si>
  <si>
    <t>KI7508867272</t>
  </si>
  <si>
    <t>KI7508872766</t>
  </si>
  <si>
    <t>KI7508927723</t>
  </si>
  <si>
    <t>KI7508934791</t>
  </si>
  <si>
    <t>KI7508962922</t>
  </si>
  <si>
    <t>KI7508964078</t>
  </si>
  <si>
    <t>KI9012050807</t>
  </si>
  <si>
    <t>KI9012059667</t>
  </si>
  <si>
    <t>KI9012061525</t>
  </si>
  <si>
    <t>KI9012064624</t>
  </si>
  <si>
    <t>KI9012070663</t>
  </si>
  <si>
    <t>KI9012071682</t>
  </si>
  <si>
    <t>LE7510141006</t>
  </si>
  <si>
    <t>RN7514617252</t>
  </si>
  <si>
    <t>CC9012044816</t>
  </si>
  <si>
    <t>ID9012067309</t>
  </si>
  <si>
    <t>KI7508829479</t>
  </si>
  <si>
    <t>KI7508954042</t>
  </si>
  <si>
    <t>KI7508974235</t>
  </si>
  <si>
    <t>KI9012054946</t>
  </si>
  <si>
    <t>KI9012054948</t>
  </si>
  <si>
    <t>KI9012055592</t>
  </si>
  <si>
    <t>KI9012056255</t>
  </si>
  <si>
    <t>KI9012064984</t>
  </si>
  <si>
    <t>KI9012070559</t>
  </si>
  <si>
    <t>LE7510160338</t>
  </si>
  <si>
    <t>LE9012044602</t>
  </si>
  <si>
    <t>LE9012057618</t>
  </si>
  <si>
    <t>LE9012058301</t>
  </si>
  <si>
    <t>LE9012061819</t>
  </si>
  <si>
    <t>LE9012064443</t>
  </si>
  <si>
    <t>RW7515001062</t>
  </si>
  <si>
    <t>SF0060920529</t>
  </si>
  <si>
    <t>ST9011929898</t>
  </si>
  <si>
    <t>KI7500319980</t>
  </si>
  <si>
    <t>KI7508944033</t>
  </si>
  <si>
    <t>KI9012069396</t>
  </si>
  <si>
    <t>LE7510133845</t>
  </si>
  <si>
    <t>LE7510137949</t>
  </si>
  <si>
    <t>FS7512178152</t>
  </si>
  <si>
    <t>ID7512539637</t>
  </si>
  <si>
    <t>ID9011571467</t>
  </si>
  <si>
    <t>KI7508865921</t>
  </si>
  <si>
    <t>KI7508884256</t>
  </si>
  <si>
    <t>KI7508893620</t>
  </si>
  <si>
    <t>KI7508951369</t>
  </si>
  <si>
    <t>KI7508978212</t>
  </si>
  <si>
    <t>KI9012049808</t>
  </si>
  <si>
    <t>KI9012059494</t>
  </si>
  <si>
    <t>KI9012060009</t>
  </si>
  <si>
    <t>KI9012061646</t>
  </si>
  <si>
    <t>KI9012062034</t>
  </si>
  <si>
    <t>KI9012065788</t>
  </si>
  <si>
    <t>KI9012072491</t>
  </si>
  <si>
    <t>LE9012054562</t>
  </si>
  <si>
    <t>LE9012054852</t>
  </si>
  <si>
    <t>LE9012063478</t>
  </si>
  <si>
    <t>MX7512755702</t>
  </si>
  <si>
    <t>OK7514470670</t>
  </si>
  <si>
    <t>SA7514080485</t>
  </si>
  <si>
    <t>DG9011920494</t>
  </si>
  <si>
    <t>DP7508562624</t>
  </si>
  <si>
    <t>FS7512180537</t>
  </si>
  <si>
    <t>FS7512183490</t>
  </si>
  <si>
    <t>FS9012069929</t>
  </si>
  <si>
    <t>FS9012075765</t>
  </si>
  <si>
    <t>KI7508809981</t>
  </si>
  <si>
    <t>KI7508900576</t>
  </si>
  <si>
    <t>KI7508942490</t>
  </si>
  <si>
    <t>KI7508962267</t>
  </si>
  <si>
    <t>KI7508977167</t>
  </si>
  <si>
    <t>KI9012051010</t>
  </si>
  <si>
    <t>KI9012052769</t>
  </si>
  <si>
    <t>KI9012054951</t>
  </si>
  <si>
    <t>KI9012057972</t>
  </si>
  <si>
    <t>KI9012062543</t>
  </si>
  <si>
    <t>KI9012069135</t>
  </si>
  <si>
    <t>KI9012069275</t>
  </si>
  <si>
    <t>KI9012070397</t>
  </si>
  <si>
    <t>LE7510134438</t>
  </si>
  <si>
    <t>LE9012049992</t>
  </si>
  <si>
    <t>MW7503789534</t>
  </si>
  <si>
    <t>RR7503681617</t>
  </si>
  <si>
    <t>SR7503828400</t>
  </si>
  <si>
    <t>FS7512031708</t>
  </si>
  <si>
    <t>FS7512158097</t>
  </si>
  <si>
    <t>FS7512183801</t>
  </si>
  <si>
    <t>JG7503726969</t>
  </si>
  <si>
    <t>KI7508846799</t>
  </si>
  <si>
    <t>KI7508864768</t>
  </si>
  <si>
    <t>KI7508891750</t>
  </si>
  <si>
    <t>KI7508898355</t>
  </si>
  <si>
    <t>KI9012052954</t>
  </si>
  <si>
    <t>KI9012067711</t>
  </si>
  <si>
    <t>KI9012073333</t>
  </si>
  <si>
    <t>LE7510135773</t>
  </si>
  <si>
    <t>LE9012059191</t>
  </si>
  <si>
    <t>FS7512378379</t>
  </si>
  <si>
    <t>KI7500326693</t>
  </si>
  <si>
    <t>KI7508943640</t>
  </si>
  <si>
    <t>KI9012039237</t>
  </si>
  <si>
    <t>LE7508530181</t>
  </si>
  <si>
    <t>LE9012041157</t>
  </si>
  <si>
    <t>SH7513675811</t>
  </si>
  <si>
    <t>VR9012050900</t>
  </si>
  <si>
    <t>CH9011812628</t>
  </si>
  <si>
    <t>FS7512142715</t>
  </si>
  <si>
    <t>FS7512145287</t>
  </si>
  <si>
    <t>FS7512159291</t>
  </si>
  <si>
    <t>FS7512167828</t>
  </si>
  <si>
    <t>FS7512172267</t>
  </si>
  <si>
    <t>FS7512385648</t>
  </si>
  <si>
    <t>FS9012051930</t>
  </si>
  <si>
    <t>ID7512546140</t>
  </si>
  <si>
    <t>KI0065306464</t>
  </si>
  <si>
    <t>KI7500313080</t>
  </si>
  <si>
    <t>KI7508838814</t>
  </si>
  <si>
    <t>KI7508848817</t>
  </si>
  <si>
    <t>KI9012029988</t>
  </si>
  <si>
    <t>KI9012030182</t>
  </si>
  <si>
    <t>MX9012075971</t>
  </si>
  <si>
    <t>RN9012044367</t>
  </si>
  <si>
    <t>RN9012065051</t>
  </si>
  <si>
    <t>KI9012041867</t>
  </si>
  <si>
    <t>KI9012052454</t>
  </si>
  <si>
    <t>KI9012055298</t>
  </si>
  <si>
    <t>KI9012057489</t>
  </si>
  <si>
    <t>LE7501239397</t>
  </si>
  <si>
    <t>LE7508524747</t>
  </si>
  <si>
    <t>LE7510138961</t>
  </si>
  <si>
    <t>LE7510103891</t>
  </si>
  <si>
    <t>LE7510119491</t>
  </si>
  <si>
    <t>LE7510149913</t>
  </si>
  <si>
    <t>LE9012015643</t>
  </si>
  <si>
    <t>LE9011033418</t>
  </si>
  <si>
    <t>LE9012030842</t>
  </si>
  <si>
    <t>LE9012031019</t>
  </si>
  <si>
    <t>LE9012163477</t>
  </si>
  <si>
    <t>MX9012038494</t>
  </si>
  <si>
    <t>SP7514184801</t>
  </si>
  <si>
    <t>AM7513838827</t>
  </si>
  <si>
    <t>BL7507541930</t>
  </si>
  <si>
    <t>CC0060932829</t>
  </si>
  <si>
    <t>FS0060921152</t>
  </si>
  <si>
    <t>LE0060779523</t>
  </si>
  <si>
    <t>LE7508385953</t>
  </si>
  <si>
    <t>LE7508441725</t>
  </si>
  <si>
    <t>MN7513086859</t>
  </si>
  <si>
    <t>MN7513089064</t>
  </si>
  <si>
    <t>SA7514147613</t>
  </si>
  <si>
    <t>SA7514148510</t>
  </si>
  <si>
    <t>BA7507939727</t>
  </si>
  <si>
    <t>FS7512091617</t>
  </si>
  <si>
    <t>FS7512123651</t>
  </si>
  <si>
    <t>FS7512128399</t>
  </si>
  <si>
    <t>FS7512130914</t>
  </si>
  <si>
    <t>KI7508626103</t>
  </si>
  <si>
    <t>KI7508666536</t>
  </si>
  <si>
    <t>LE0060895292</t>
  </si>
  <si>
    <t>RN7514616694</t>
  </si>
  <si>
    <t>KI7508875489</t>
  </si>
  <si>
    <t>SA7514141667</t>
  </si>
  <si>
    <t>KI7500315985</t>
  </si>
  <si>
    <t>KI7508722867</t>
  </si>
  <si>
    <t>KI7508789185</t>
  </si>
  <si>
    <t>KI7508815724</t>
  </si>
  <si>
    <t>LE7508374241</t>
  </si>
  <si>
    <t>MX7512754596</t>
  </si>
  <si>
    <t>PW7513556004</t>
  </si>
  <si>
    <t>SQ7503445996</t>
  </si>
  <si>
    <t>KI0069913233</t>
  </si>
  <si>
    <t>LE7508482664</t>
  </si>
  <si>
    <t>FS7512085912</t>
  </si>
  <si>
    <t>FS7512102257</t>
  </si>
  <si>
    <t>KI7508726556</t>
  </si>
  <si>
    <t>KI7508734459</t>
  </si>
  <si>
    <t>LE0060896262</t>
  </si>
  <si>
    <t>LE7508472719</t>
  </si>
  <si>
    <t>LE7508492284</t>
  </si>
  <si>
    <t>LE9012018733</t>
  </si>
  <si>
    <t>MX7512747377</t>
  </si>
  <si>
    <t>SA7514143189</t>
  </si>
  <si>
    <t>FS7512085956</t>
  </si>
  <si>
    <t>FS7512115972</t>
  </si>
  <si>
    <t>FS7512119814</t>
  </si>
  <si>
    <t>FS7512123913</t>
  </si>
  <si>
    <t>ID7501542778</t>
  </si>
  <si>
    <t>ID7512530372</t>
  </si>
  <si>
    <t>LE7508448432</t>
  </si>
  <si>
    <t>LE7508463285</t>
  </si>
  <si>
    <t>LE7508500895</t>
  </si>
  <si>
    <t>LE7508533789</t>
  </si>
  <si>
    <t>MG7507560373</t>
  </si>
  <si>
    <t>PW7513554181</t>
  </si>
  <si>
    <t>BA7507939820</t>
  </si>
  <si>
    <t>FS7512118710</t>
  </si>
  <si>
    <t>FS7512118849</t>
  </si>
  <si>
    <t>KI7508723834</t>
  </si>
  <si>
    <t>KI9012178886</t>
  </si>
  <si>
    <t>LE7508455262</t>
  </si>
  <si>
    <t>LE7508521119</t>
  </si>
  <si>
    <t>LE7510098775</t>
  </si>
  <si>
    <t>AM7513837512</t>
  </si>
  <si>
    <t>KI7500694086</t>
  </si>
  <si>
    <t>KI7508620546</t>
  </si>
  <si>
    <t>PW7513546959</t>
  </si>
  <si>
    <t>FS7512114615</t>
  </si>
  <si>
    <t>FS7512118080</t>
  </si>
  <si>
    <t>ID7512530104</t>
  </si>
  <si>
    <t>KI7508752278</t>
  </si>
  <si>
    <t>KI7508846268</t>
  </si>
  <si>
    <t>LE0060896536</t>
  </si>
  <si>
    <t>LE7508468955</t>
  </si>
  <si>
    <t>LE7508491194</t>
  </si>
  <si>
    <t>RN7514616705</t>
  </si>
  <si>
    <t>SA7514143530</t>
  </si>
  <si>
    <t>SA7514145026</t>
  </si>
  <si>
    <t>FS7512113910</t>
  </si>
  <si>
    <t>JR9011792263</t>
  </si>
  <si>
    <t>KI7508750741</t>
  </si>
  <si>
    <t>LE7508483315</t>
  </si>
  <si>
    <t>MN7513084055</t>
  </si>
  <si>
    <t>PW7513550555</t>
  </si>
  <si>
    <t>PW7513553132</t>
  </si>
  <si>
    <t>SA7514143720</t>
  </si>
  <si>
    <t>ID7512526935</t>
  </si>
  <si>
    <t>LE0060894282</t>
  </si>
  <si>
    <t>FS7512069247</t>
  </si>
  <si>
    <t>MX7512746501</t>
  </si>
  <si>
    <t>JG7503725484</t>
  </si>
  <si>
    <t>MX7512746671</t>
  </si>
  <si>
    <t>KA7514318263</t>
  </si>
  <si>
    <t>LE0060895623</t>
  </si>
  <si>
    <t>SD7507949248</t>
  </si>
  <si>
    <t>FS7512016201</t>
  </si>
  <si>
    <t>KI7500301358</t>
  </si>
  <si>
    <t>KI7500301412</t>
  </si>
  <si>
    <t>KI7508696945</t>
  </si>
  <si>
    <t>KI7508707325</t>
  </si>
  <si>
    <t>KI7508738552</t>
  </si>
  <si>
    <t>KI7508749308</t>
  </si>
  <si>
    <t>LE7508451045</t>
  </si>
  <si>
    <t>MN7513085700</t>
  </si>
  <si>
    <t>MX7512743848</t>
  </si>
  <si>
    <t>MX7512747231</t>
  </si>
  <si>
    <t>MX7512750340</t>
  </si>
  <si>
    <t>PW7513553912</t>
  </si>
  <si>
    <t>UE7503405226</t>
  </si>
  <si>
    <t>FS7512051555</t>
  </si>
  <si>
    <t>KI7508646146</t>
  </si>
  <si>
    <t>KI9012169769</t>
  </si>
  <si>
    <t>KI9012174566</t>
  </si>
  <si>
    <t>KI9012176274</t>
  </si>
  <si>
    <t>LE7508409275</t>
  </si>
  <si>
    <t>FS9012158493</t>
  </si>
  <si>
    <t>KI9012164336</t>
  </si>
  <si>
    <t>KI9012167893</t>
  </si>
  <si>
    <t>FS7512361713</t>
  </si>
  <si>
    <t>LE9012171036</t>
  </si>
  <si>
    <t>LE9012173588</t>
  </si>
  <si>
    <t>KI9012165743</t>
  </si>
  <si>
    <t>KI9012172486</t>
  </si>
  <si>
    <t>KI7508568170</t>
  </si>
  <si>
    <t>KI7508652606</t>
  </si>
  <si>
    <t>KI9012174002</t>
  </si>
  <si>
    <t>FS7512056645</t>
  </si>
  <si>
    <t>FS7512092197</t>
  </si>
  <si>
    <t>KI7500308352</t>
  </si>
  <si>
    <t>KP7514168450</t>
  </si>
  <si>
    <t>LE9012151665</t>
  </si>
  <si>
    <t>FS7512075960</t>
  </si>
  <si>
    <t>FS7512091472</t>
  </si>
  <si>
    <t>FS7512093733</t>
  </si>
  <si>
    <t>FS7512096231</t>
  </si>
  <si>
    <t>FS7512108711</t>
  </si>
  <si>
    <t>FS7512377389</t>
  </si>
  <si>
    <t>FS7512378951</t>
  </si>
  <si>
    <t>KI7500311132</t>
  </si>
  <si>
    <t>KI7508751084</t>
  </si>
  <si>
    <t>KI7508760344</t>
  </si>
  <si>
    <t>KI7508767975</t>
  </si>
  <si>
    <t>KL7513990901</t>
  </si>
  <si>
    <t>KP7514169196</t>
  </si>
  <si>
    <t>LE7508460908</t>
  </si>
  <si>
    <t>LE7508473522</t>
  </si>
  <si>
    <t>LE7508487996</t>
  </si>
  <si>
    <t>MN7513086519</t>
  </si>
  <si>
    <t>BW7513891853</t>
  </si>
  <si>
    <t>FS7512102688</t>
  </si>
  <si>
    <t>ID7512533017</t>
  </si>
  <si>
    <t>KI7500302912</t>
  </si>
  <si>
    <t>KI7508764402</t>
  </si>
  <si>
    <t>MX7512752313</t>
  </si>
  <si>
    <t>KI7500307509</t>
  </si>
  <si>
    <t>KI7508759952</t>
  </si>
  <si>
    <t>LE7508516091</t>
  </si>
  <si>
    <t>LE7508533782</t>
  </si>
  <si>
    <t>SA7514145908</t>
  </si>
  <si>
    <t>FS7512085868</t>
  </si>
  <si>
    <t>FS7512087722</t>
  </si>
  <si>
    <t>FS7512100424</t>
  </si>
  <si>
    <t>ID7512529643</t>
  </si>
  <si>
    <t>KI7508806141</t>
  </si>
  <si>
    <t>LE7508512859</t>
  </si>
  <si>
    <t>FS7512079332</t>
  </si>
  <si>
    <t>FS7512089537</t>
  </si>
  <si>
    <t>FS7512092274</t>
  </si>
  <si>
    <t>KI7508766988</t>
  </si>
  <si>
    <t>KI7508781725</t>
  </si>
  <si>
    <t>KI7508787331</t>
  </si>
  <si>
    <t>KI7508806443</t>
  </si>
  <si>
    <t>KP7514168046</t>
  </si>
  <si>
    <t>FS7512083820</t>
  </si>
  <si>
    <t>FS7512087653</t>
  </si>
  <si>
    <t>FS7512090665</t>
  </si>
  <si>
    <t>FS7512377130</t>
  </si>
  <si>
    <t>KI7500302853</t>
  </si>
  <si>
    <t>KI7508637522</t>
  </si>
  <si>
    <t>KI7508738285</t>
  </si>
  <si>
    <t>KI7508744279</t>
  </si>
  <si>
    <t>KI7508756381</t>
  </si>
  <si>
    <t>KI7510059658</t>
  </si>
  <si>
    <t>LE7508484778</t>
  </si>
  <si>
    <t>FS7512074422</t>
  </si>
  <si>
    <t>ID7512528639</t>
  </si>
  <si>
    <t>KI7500303913</t>
  </si>
  <si>
    <t>KI7508637543</t>
  </si>
  <si>
    <t>KI7508688342</t>
  </si>
  <si>
    <t>KI7508714465</t>
  </si>
  <si>
    <t>KI7508714596</t>
  </si>
  <si>
    <t>KI7508714752</t>
  </si>
  <si>
    <t>KI7508738197</t>
  </si>
  <si>
    <t>KI7508747840</t>
  </si>
  <si>
    <t>LE7508466463</t>
  </si>
  <si>
    <t>LE7508483510</t>
  </si>
  <si>
    <t>LE7508496689</t>
  </si>
  <si>
    <t>MN7513084401</t>
  </si>
  <si>
    <t>PW7513553586</t>
  </si>
  <si>
    <t>SQ7503446543</t>
  </si>
  <si>
    <t>KI7500695236</t>
  </si>
  <si>
    <t>KI7500697600</t>
  </si>
  <si>
    <t>KI7508629274</t>
  </si>
  <si>
    <t>KL7513990171</t>
  </si>
  <si>
    <t>LE7507140904</t>
  </si>
  <si>
    <t>LE7508421962</t>
  </si>
  <si>
    <t>SA7514139631</t>
  </si>
  <si>
    <t>FS7511986973</t>
  </si>
  <si>
    <t>ID7512524126</t>
  </si>
  <si>
    <t>KI7508646389</t>
  </si>
  <si>
    <t>KI7508681693</t>
  </si>
  <si>
    <t>KI7508706490</t>
  </si>
  <si>
    <t>KI9012183361</t>
  </si>
  <si>
    <t>KP7514168029</t>
  </si>
  <si>
    <t>PW7513550638</t>
  </si>
  <si>
    <t>WC7503532159</t>
  </si>
  <si>
    <t>AM7513836164</t>
  </si>
  <si>
    <t>KI7508674600</t>
  </si>
  <si>
    <t>LE7508301583</t>
  </si>
  <si>
    <t>DI7503925924</t>
  </si>
  <si>
    <t>KI7508702125</t>
  </si>
  <si>
    <t>LE7508414669</t>
  </si>
  <si>
    <t>LE7508464633</t>
  </si>
  <si>
    <t>SA7514140412</t>
  </si>
  <si>
    <t>SP7514182113</t>
  </si>
  <si>
    <t>SP7514182963</t>
  </si>
  <si>
    <t>FS7512034527</t>
  </si>
  <si>
    <t>FS7512371358</t>
  </si>
  <si>
    <t>ID7512518922</t>
  </si>
  <si>
    <t>KI7508652543</t>
  </si>
  <si>
    <t>KI7508711436</t>
  </si>
  <si>
    <t>LE0060895199</t>
  </si>
  <si>
    <t>LE7508441639</t>
  </si>
  <si>
    <t>LE7508445916</t>
  </si>
  <si>
    <t>MB7503764193</t>
  </si>
  <si>
    <t>MN7513081155</t>
  </si>
  <si>
    <t>SA7514139223</t>
  </si>
  <si>
    <t>FS7512068884</t>
  </si>
  <si>
    <t>FS7512071873</t>
  </si>
  <si>
    <t>FS7512082259</t>
  </si>
  <si>
    <t>FS7512083610</t>
  </si>
  <si>
    <t>FS7512085327</t>
  </si>
  <si>
    <t>FS7512375648</t>
  </si>
  <si>
    <t>KI7500300253</t>
  </si>
  <si>
    <t>KI7500695048</t>
  </si>
  <si>
    <t>KI7508689191</t>
  </si>
  <si>
    <t>LE7501236409</t>
  </si>
  <si>
    <t>LE7508475414</t>
  </si>
  <si>
    <t>PW7513551258</t>
  </si>
  <si>
    <t>SA7514141411</t>
  </si>
  <si>
    <t>FS7512064611</t>
  </si>
  <si>
    <t>FS7512065891</t>
  </si>
  <si>
    <t>FS7512067986</t>
  </si>
  <si>
    <t>FS7512075524</t>
  </si>
  <si>
    <t>FS7512076817</t>
  </si>
  <si>
    <t>FS7512077955</t>
  </si>
  <si>
    <t>FS7512081153</t>
  </si>
  <si>
    <t>FS7512081625</t>
  </si>
  <si>
    <t>FS7512084533</t>
  </si>
  <si>
    <t>ID7512517957</t>
  </si>
  <si>
    <t>KI7508637525</t>
  </si>
  <si>
    <t>KI7508656558</t>
  </si>
  <si>
    <t>KI7508689217</t>
  </si>
  <si>
    <t>KI7508690638</t>
  </si>
  <si>
    <t>KI7508710926</t>
  </si>
  <si>
    <t>KI7508714582</t>
  </si>
  <si>
    <t>RN9010906701</t>
  </si>
  <si>
    <t>BL7507541715</t>
  </si>
  <si>
    <t>FS7512073095</t>
  </si>
  <si>
    <t>FS7512374923</t>
  </si>
  <si>
    <t>ID7512527877</t>
  </si>
  <si>
    <t>KI7508711196</t>
  </si>
  <si>
    <t>KI7508724142</t>
  </si>
  <si>
    <t>AM7513835084</t>
  </si>
  <si>
    <t>FS7512057687</t>
  </si>
  <si>
    <t>FS7512064984</t>
  </si>
  <si>
    <t>FS7512081603</t>
  </si>
  <si>
    <t>JR9011800081</t>
  </si>
  <si>
    <t>KI7500698046</t>
  </si>
  <si>
    <t>KI7508604958</t>
  </si>
  <si>
    <t>KI7508637489</t>
  </si>
  <si>
    <t>KI7508638693</t>
  </si>
  <si>
    <t>KI7508643641</t>
  </si>
  <si>
    <t>KI7508680204</t>
  </si>
  <si>
    <t>KI7508684800</t>
  </si>
  <si>
    <t>KI7508693931</t>
  </si>
  <si>
    <t>KI7508721556</t>
  </si>
  <si>
    <t>LE7508434433</t>
  </si>
  <si>
    <t>LE7508441933</t>
  </si>
  <si>
    <t>LE7508446726</t>
  </si>
  <si>
    <t>LE9011800096</t>
  </si>
  <si>
    <t>FS7512072297</t>
  </si>
  <si>
    <t>FS7512088292</t>
  </si>
  <si>
    <t>KI7508657599</t>
  </si>
  <si>
    <t>LE0060884903</t>
  </si>
  <si>
    <t>LE7501236213</t>
  </si>
  <si>
    <t>LE7508437554</t>
  </si>
  <si>
    <t>MN7513084722</t>
  </si>
  <si>
    <t>MX7512744758</t>
  </si>
  <si>
    <t>PD9011793425</t>
  </si>
  <si>
    <t>SA7514141254</t>
  </si>
  <si>
    <t>ID9012064964</t>
  </si>
  <si>
    <t>CC7503198145</t>
  </si>
  <si>
    <t>LE7510102005</t>
  </si>
  <si>
    <t>TM7513952357</t>
  </si>
  <si>
    <t>BA7507941840</t>
  </si>
  <si>
    <t>FS7512376350</t>
  </si>
  <si>
    <t>KI9011923287</t>
  </si>
  <si>
    <t>LE0060938660</t>
  </si>
  <si>
    <t>LE7508430873</t>
  </si>
  <si>
    <t>LE7508458774</t>
  </si>
  <si>
    <t>MN7513089782</t>
  </si>
  <si>
    <t>SA7514077483</t>
  </si>
  <si>
    <t>SA7514145167</t>
  </si>
  <si>
    <t>SA7514148281</t>
  </si>
  <si>
    <t>FS7512081998</t>
  </si>
  <si>
    <t>FS7512151507</t>
  </si>
  <si>
    <t>FS7512372891</t>
  </si>
  <si>
    <t>KI7508656570</t>
  </si>
  <si>
    <t>KI7508870105</t>
  </si>
  <si>
    <t>KI7508878763</t>
  </si>
  <si>
    <t>LE7510094697</t>
  </si>
  <si>
    <t>LE7510126095</t>
  </si>
  <si>
    <t>LE9012053244</t>
  </si>
  <si>
    <t>MN7513082943</t>
  </si>
  <si>
    <t>OK7514466882</t>
  </si>
  <si>
    <t>VR7503500236</t>
  </si>
  <si>
    <t>BW7513893000</t>
  </si>
  <si>
    <t>FS7512133166</t>
  </si>
  <si>
    <t>LE7510112994</t>
  </si>
  <si>
    <t>SA7514151111</t>
  </si>
  <si>
    <t>SP7514184394</t>
  </si>
  <si>
    <t>AM7513837907</t>
  </si>
  <si>
    <t>DG9011769928</t>
  </si>
  <si>
    <t>DP7508559264</t>
  </si>
  <si>
    <t>FS7512383381</t>
  </si>
  <si>
    <t>HD7514716614</t>
  </si>
  <si>
    <t>KI7508849684</t>
  </si>
  <si>
    <t>KI7508896706</t>
  </si>
  <si>
    <t>KI7508897002</t>
  </si>
  <si>
    <t>KI9011033078</t>
  </si>
  <si>
    <t>LE0060897549</t>
  </si>
  <si>
    <t>LE7508486427</t>
  </si>
  <si>
    <t>LE7508493273</t>
  </si>
  <si>
    <t>LE7508509799</t>
  </si>
  <si>
    <t>LE7510111381</t>
  </si>
  <si>
    <t>UE7503405757</t>
  </si>
  <si>
    <t>AM7513840587</t>
  </si>
  <si>
    <t>FS7512151937</t>
  </si>
  <si>
    <t>ID7512538780</t>
  </si>
  <si>
    <t>KA7514320891</t>
  </si>
  <si>
    <t>KI7508590613</t>
  </si>
  <si>
    <t>KI7508847751</t>
  </si>
  <si>
    <t>KI7508878548</t>
  </si>
  <si>
    <t>KI7508882845</t>
  </si>
  <si>
    <t>LE7508507273</t>
  </si>
  <si>
    <t>PW7513556442</t>
  </si>
  <si>
    <t>SA7514144153</t>
  </si>
  <si>
    <t>FS7512161540</t>
  </si>
  <si>
    <t>FS7512373159</t>
  </si>
  <si>
    <t>KI7500302860</t>
  </si>
  <si>
    <t>KI7500311437</t>
  </si>
  <si>
    <t>KI7508775337</t>
  </si>
  <si>
    <t>KI7508779244</t>
  </si>
  <si>
    <t>KI7508823395</t>
  </si>
  <si>
    <t>KI7508878748</t>
  </si>
  <si>
    <t>LE7508494730</t>
  </si>
  <si>
    <t>LE7508535350</t>
  </si>
  <si>
    <t>OK7514367936</t>
  </si>
  <si>
    <t>SL7507527265</t>
  </si>
  <si>
    <t>FS7512084013</t>
  </si>
  <si>
    <t>FS7512114081</t>
  </si>
  <si>
    <t>FS7512139775</t>
  </si>
  <si>
    <t>FS7512153015</t>
  </si>
  <si>
    <t>FS7512153366</t>
  </si>
  <si>
    <t>FS7512380675</t>
  </si>
  <si>
    <t>FS7512381064</t>
  </si>
  <si>
    <t>FS7512381170</t>
  </si>
  <si>
    <t>KI7508712867</t>
  </si>
  <si>
    <t>KI7508877749</t>
  </si>
  <si>
    <t>KI7508896750</t>
  </si>
  <si>
    <t>LE7501238773</t>
  </si>
  <si>
    <t>LE7510094761</t>
  </si>
  <si>
    <t>OK7514470654</t>
  </si>
  <si>
    <t>SA7514150593</t>
  </si>
  <si>
    <t>SP7514183013</t>
  </si>
  <si>
    <t>FS7512095015</t>
  </si>
  <si>
    <t>FS7512114133</t>
  </si>
  <si>
    <t>FS7512381560</t>
  </si>
  <si>
    <t>KA7514320787</t>
  </si>
  <si>
    <t>KI7508659498</t>
  </si>
  <si>
    <t>KI7508699010</t>
  </si>
  <si>
    <t>KI7508820043</t>
  </si>
  <si>
    <t>LE7508511770</t>
  </si>
  <si>
    <t>LE7508518608</t>
  </si>
  <si>
    <t>LE7508523377</t>
  </si>
  <si>
    <t>MN7513087911</t>
  </si>
  <si>
    <t>RW7507302408</t>
  </si>
  <si>
    <t>SL7508018909</t>
  </si>
  <si>
    <t>SP7514180401</t>
  </si>
  <si>
    <t>SP7514186149</t>
  </si>
  <si>
    <t>BA7507939183</t>
  </si>
  <si>
    <t>KI7508773188</t>
  </si>
  <si>
    <t>KI7508841610</t>
  </si>
  <si>
    <t>KI9011032905</t>
  </si>
  <si>
    <t>LE7510093385</t>
  </si>
  <si>
    <t>NW7514321280</t>
  </si>
  <si>
    <t>SA7514141354</t>
  </si>
  <si>
    <t>SA7514147529</t>
  </si>
  <si>
    <t>SP7514211310</t>
  </si>
  <si>
    <t>FS7512123853</t>
  </si>
  <si>
    <t>GW7507925207</t>
  </si>
  <si>
    <t>KI7500314196</t>
  </si>
  <si>
    <t>KI7508808984</t>
  </si>
  <si>
    <t>KI7508845057</t>
  </si>
  <si>
    <t>LE7508505972</t>
  </si>
  <si>
    <t>LE7508512173</t>
  </si>
  <si>
    <t>LE7510105544</t>
  </si>
  <si>
    <t>LY7507588539</t>
  </si>
  <si>
    <t>SL7508018700</t>
  </si>
  <si>
    <t>BA7507941252</t>
  </si>
  <si>
    <t>FS7512142286</t>
  </si>
  <si>
    <t>FS7512145648</t>
  </si>
  <si>
    <t>FS7512362453</t>
  </si>
  <si>
    <t>KA7513711889</t>
  </si>
  <si>
    <t>KI7500687337</t>
  </si>
  <si>
    <t>KI7508819710</t>
  </si>
  <si>
    <t>KI7508874260</t>
  </si>
  <si>
    <t>KI9012036030</t>
  </si>
  <si>
    <t>LE7508488394</t>
  </si>
  <si>
    <t>LE7508529064</t>
  </si>
  <si>
    <t>LE7510107393</t>
  </si>
  <si>
    <t>LE7510128101</t>
  </si>
  <si>
    <t>MX7512759685</t>
  </si>
  <si>
    <t>FS7512099666</t>
  </si>
  <si>
    <t>KA7514321188</t>
  </si>
  <si>
    <t>KI7500686254</t>
  </si>
  <si>
    <t>KI7508815023</t>
  </si>
  <si>
    <t>KI7508844725</t>
  </si>
  <si>
    <t>LE7508459747</t>
  </si>
  <si>
    <t>LE7508504771</t>
  </si>
  <si>
    <t>LE7508511938</t>
  </si>
  <si>
    <t>OK7514467598</t>
  </si>
  <si>
    <t>SA7514143712</t>
  </si>
  <si>
    <t>GW9011923607</t>
  </si>
  <si>
    <t>KI7508787535</t>
  </si>
  <si>
    <t>KI7508815075</t>
  </si>
  <si>
    <t>FS7512370700</t>
  </si>
  <si>
    <t>KI7508826223</t>
  </si>
  <si>
    <t>KI7508830210</t>
  </si>
  <si>
    <t>FS7512098396</t>
  </si>
  <si>
    <t>FS7512104209</t>
  </si>
  <si>
    <t>KI7500304701</t>
  </si>
  <si>
    <t>KI7508759591</t>
  </si>
  <si>
    <t>KI7508775601</t>
  </si>
  <si>
    <t>KI7508781552</t>
  </si>
  <si>
    <t>KI7508788919</t>
  </si>
  <si>
    <t>LE7508448381</t>
  </si>
  <si>
    <t>LE9012007003</t>
  </si>
  <si>
    <t>AM7513838304</t>
  </si>
  <si>
    <t>ID7512528244</t>
  </si>
  <si>
    <t>KI7508765556</t>
  </si>
  <si>
    <t>KI7508850672</t>
  </si>
  <si>
    <t>KI7508865469</t>
  </si>
  <si>
    <t>LE7508502554</t>
  </si>
  <si>
    <t>MX7512760247</t>
  </si>
  <si>
    <t>MX7512996809</t>
  </si>
  <si>
    <t>SA7514141812</t>
  </si>
  <si>
    <t>SP7514184674</t>
  </si>
  <si>
    <t>ST9011800375</t>
  </si>
  <si>
    <t>LE0060898060</t>
  </si>
  <si>
    <t>LE7508502550</t>
  </si>
  <si>
    <t>SA7514143243</t>
  </si>
  <si>
    <t>TM7513952043</t>
  </si>
  <si>
    <t>KI7508946319</t>
  </si>
  <si>
    <t>KI9012007480</t>
  </si>
  <si>
    <t>KI9012010494</t>
  </si>
  <si>
    <t>KI9012173797</t>
  </si>
  <si>
    <t>JM9011924064</t>
  </si>
  <si>
    <t>LE7508515619</t>
  </si>
  <si>
    <t>KI7508627294</t>
  </si>
  <si>
    <t>KI7508819719</t>
  </si>
  <si>
    <t>KI7508880073</t>
  </si>
  <si>
    <t>KI9012119857</t>
  </si>
  <si>
    <t>LE7508508937</t>
  </si>
  <si>
    <t>LE7508519165</t>
  </si>
  <si>
    <t>LE7508526576</t>
  </si>
  <si>
    <t>LE7510107727</t>
  </si>
  <si>
    <t>MN7513083374</t>
  </si>
  <si>
    <t>RW7507301749</t>
  </si>
  <si>
    <t>SA9012014666</t>
  </si>
  <si>
    <t>SI7504129787</t>
  </si>
  <si>
    <t>SW9012026411</t>
  </si>
  <si>
    <t>FS7512134311</t>
  </si>
  <si>
    <t>ID9012038320</t>
  </si>
  <si>
    <t>KI9012009539</t>
  </si>
  <si>
    <t>KI9012173511</t>
  </si>
  <si>
    <t>KI9012175520</t>
  </si>
  <si>
    <t>LE7508499196</t>
  </si>
  <si>
    <t>LE9012004404</t>
  </si>
  <si>
    <t>MX7512756510</t>
  </si>
  <si>
    <t>SW0060293364</t>
  </si>
  <si>
    <t>FS9012031893</t>
  </si>
  <si>
    <t>KI7508744859</t>
  </si>
  <si>
    <t>KI9012017492</t>
  </si>
  <si>
    <t>SP9012013265</t>
  </si>
  <si>
    <t>FS7512015572</t>
  </si>
  <si>
    <t>KI0065325070</t>
  </si>
  <si>
    <t>KI9012015626</t>
  </si>
  <si>
    <t>KI9012159953</t>
  </si>
  <si>
    <t>LE7508334150</t>
  </si>
  <si>
    <t>LE7508418042</t>
  </si>
  <si>
    <t>LE9012167630</t>
  </si>
  <si>
    <t>PW7513554530</t>
  </si>
  <si>
    <t>RW7507283038</t>
  </si>
  <si>
    <t>FS9012025773</t>
  </si>
  <si>
    <t>GW9012036128</t>
  </si>
  <si>
    <t>KI7508742661</t>
  </si>
  <si>
    <t>KI9012197506</t>
  </si>
  <si>
    <t>DP7508561130</t>
  </si>
  <si>
    <t>FS7512385232</t>
  </si>
  <si>
    <t>KI7508640364</t>
  </si>
  <si>
    <t>KI7508910903</t>
  </si>
  <si>
    <t>SA7514149337</t>
  </si>
  <si>
    <t>AM7513834820</t>
  </si>
  <si>
    <t>DP7508560746</t>
  </si>
  <si>
    <t>FS7512086486</t>
  </si>
  <si>
    <t>FS7512153336</t>
  </si>
  <si>
    <t>FS7512378676</t>
  </si>
  <si>
    <t>FS7512386909</t>
  </si>
  <si>
    <t>FS9012044685</t>
  </si>
  <si>
    <t>ID7512538229</t>
  </si>
  <si>
    <t>ID9011560533</t>
  </si>
  <si>
    <t>KI7500310752</t>
  </si>
  <si>
    <t>KI7508836353</t>
  </si>
  <si>
    <t>KI9012049858</t>
  </si>
  <si>
    <t>LE7508475380</t>
  </si>
  <si>
    <t>LE7510118408</t>
  </si>
  <si>
    <t>LE7510118539</t>
  </si>
  <si>
    <t>LE7510126247</t>
  </si>
  <si>
    <t>LE7510128447</t>
  </si>
  <si>
    <t>RW7507295654</t>
  </si>
  <si>
    <t>SA7514146164</t>
  </si>
  <si>
    <t>SP7514211737</t>
  </si>
  <si>
    <t>BA7507939254</t>
  </si>
  <si>
    <t>FS0060928680</t>
  </si>
  <si>
    <t>FS7512048471</t>
  </si>
  <si>
    <t>FS7512049694</t>
  </si>
  <si>
    <t>FS7512170058</t>
  </si>
  <si>
    <t>ID7512539840</t>
  </si>
  <si>
    <t>ID9011560557</t>
  </si>
  <si>
    <t>KI7508816990</t>
  </si>
  <si>
    <t>KI7508849250</t>
  </si>
  <si>
    <t>KI7508882386</t>
  </si>
  <si>
    <t>KI7508953796</t>
  </si>
  <si>
    <t>LE7510138786</t>
  </si>
  <si>
    <t>LE7510143220</t>
  </si>
  <si>
    <t>LE7510155443</t>
  </si>
  <si>
    <t>MN7513089082</t>
  </si>
  <si>
    <t>NS9011923873</t>
  </si>
  <si>
    <t>RW7507305183</t>
  </si>
  <si>
    <t>SA7514144210</t>
  </si>
  <si>
    <t>SP7504694546</t>
  </si>
  <si>
    <t>BR7502731944</t>
  </si>
  <si>
    <t>FS7512098189</t>
  </si>
  <si>
    <t>ID7512531983</t>
  </si>
  <si>
    <t>ID7512533324</t>
  </si>
  <si>
    <t>KI7500300397</t>
  </si>
  <si>
    <t>KI7506257941</t>
  </si>
  <si>
    <t>KI7508667265</t>
  </si>
  <si>
    <t>KI7508775759</t>
  </si>
  <si>
    <t>KI7508789149</t>
  </si>
  <si>
    <t>KI7508853660</t>
  </si>
  <si>
    <t>KI7508868970</t>
  </si>
  <si>
    <t>KI7508953880</t>
  </si>
  <si>
    <t>LE7508511779</t>
  </si>
  <si>
    <t>LE7508524186</t>
  </si>
  <si>
    <t>LE7510114988</t>
  </si>
  <si>
    <t>LE7510117508</t>
  </si>
  <si>
    <t>LE7510121750</t>
  </si>
  <si>
    <t>LE7510136535</t>
  </si>
  <si>
    <t>LE7510146793</t>
  </si>
  <si>
    <t>LE7510154394</t>
  </si>
  <si>
    <t>SP7514181295</t>
  </si>
  <si>
    <t>FS7512149687</t>
  </si>
  <si>
    <t>FS7512158731</t>
  </si>
  <si>
    <t>ID7512538741</t>
  </si>
  <si>
    <t>ID9012036884</t>
  </si>
  <si>
    <t>KI7500301921</t>
  </si>
  <si>
    <t>KI7500303300</t>
  </si>
  <si>
    <t>KI7508738717</t>
  </si>
  <si>
    <t>KI7508876525</t>
  </si>
  <si>
    <t>KI7508923155</t>
  </si>
  <si>
    <t>KP7514167826</t>
  </si>
  <si>
    <t>LE7508381603</t>
  </si>
  <si>
    <t>LE7508456165</t>
  </si>
  <si>
    <t>LE7508482552</t>
  </si>
  <si>
    <t>LE7508526529</t>
  </si>
  <si>
    <t>LE7508527576</t>
  </si>
  <si>
    <t>LE7508534643</t>
  </si>
  <si>
    <t>LE7510113104</t>
  </si>
  <si>
    <t>MM9011796253</t>
  </si>
  <si>
    <t>PW7513559310</t>
  </si>
  <si>
    <t>RW7507285200</t>
  </si>
  <si>
    <t>RY7506830363</t>
  </si>
  <si>
    <t>BA7507943001</t>
  </si>
  <si>
    <t>FS7512162622</t>
  </si>
  <si>
    <t>FS7512174803</t>
  </si>
  <si>
    <t>FS7512182537</t>
  </si>
  <si>
    <t>FS7512375941</t>
  </si>
  <si>
    <t>HD7514720446</t>
  </si>
  <si>
    <t>ID7512531792</t>
  </si>
  <si>
    <t>KI7500696479</t>
  </si>
  <si>
    <t>KI7508584685</t>
  </si>
  <si>
    <t>KI7508655741</t>
  </si>
  <si>
    <t>KI7508900038</t>
  </si>
  <si>
    <t>KI7508919992</t>
  </si>
  <si>
    <t>KI7508977925</t>
  </si>
  <si>
    <t>KI9012033459</t>
  </si>
  <si>
    <t>KI9012185326</t>
  </si>
  <si>
    <t>LE7508463220</t>
  </si>
  <si>
    <t>LE7510097554</t>
  </si>
  <si>
    <t>MC7503291490</t>
  </si>
  <si>
    <t>MN7513083902</t>
  </si>
  <si>
    <t>MW7503789602</t>
  </si>
  <si>
    <t>MX7512741304</t>
  </si>
  <si>
    <t>MX7512748698</t>
  </si>
  <si>
    <t>SA7514076792</t>
  </si>
  <si>
    <t>SL9011794264</t>
  </si>
  <si>
    <t>FS7512077319</t>
  </si>
  <si>
    <t>FS7512139712</t>
  </si>
  <si>
    <t>FS7512143935</t>
  </si>
  <si>
    <t>FS9011930887</t>
  </si>
  <si>
    <t>ID7512542430</t>
  </si>
  <si>
    <t>JG7503726582</t>
  </si>
  <si>
    <t>KI7500319978</t>
  </si>
  <si>
    <t>KI7508592937</t>
  </si>
  <si>
    <t>KI7508665299</t>
  </si>
  <si>
    <t>KI7508908373</t>
  </si>
  <si>
    <t>LE7510135099</t>
  </si>
  <si>
    <t>LE7510138291</t>
  </si>
  <si>
    <t>LE9012062694</t>
  </si>
  <si>
    <t>MX7512762579</t>
  </si>
  <si>
    <t>BA7507941222</t>
  </si>
  <si>
    <t>FS7512154373</t>
  </si>
  <si>
    <t>KI7500311080</t>
  </si>
  <si>
    <t>KI7500319312</t>
  </si>
  <si>
    <t>KI7508768810</t>
  </si>
  <si>
    <t>KI7508788657</t>
  </si>
  <si>
    <t>KI7508895571</t>
  </si>
  <si>
    <t>LE7508491040</t>
  </si>
  <si>
    <t>MN7513084938</t>
  </si>
  <si>
    <t>RW0060935188</t>
  </si>
  <si>
    <t>DI9011925156</t>
  </si>
  <si>
    <t>FS7512116659</t>
  </si>
  <si>
    <t>FS7512165011</t>
  </si>
  <si>
    <t>ID7501542846</t>
  </si>
  <si>
    <t>KI7508682794</t>
  </si>
  <si>
    <t>LE0060906843</t>
  </si>
  <si>
    <t>LE7508384665</t>
  </si>
  <si>
    <t>LE9012045999</t>
  </si>
  <si>
    <t>MX7512754061</t>
  </si>
  <si>
    <t>WZ7507898830</t>
  </si>
  <si>
    <t>DP7508559000</t>
  </si>
  <si>
    <t>LE7510117320</t>
  </si>
  <si>
    <t>OK7514468311</t>
  </si>
  <si>
    <t>PW7513559936</t>
  </si>
  <si>
    <t>SA7514136980</t>
  </si>
  <si>
    <t>SP7514183578</t>
  </si>
  <si>
    <t>FS7512116292</t>
  </si>
  <si>
    <t>KI7508688091</t>
  </si>
  <si>
    <t>KI7508783334</t>
  </si>
  <si>
    <t>KI7508809425</t>
  </si>
  <si>
    <t>LE7508468369</t>
  </si>
  <si>
    <t>LE7508507474</t>
  </si>
  <si>
    <t>MX7512749147</t>
  </si>
  <si>
    <t>OK7514368436</t>
  </si>
  <si>
    <t>RN7503439120</t>
  </si>
  <si>
    <t>SP7514185148</t>
  </si>
  <si>
    <t>FS7512075736</t>
  </si>
  <si>
    <t>GW7514768216</t>
  </si>
  <si>
    <t>KI7508897690</t>
  </si>
  <si>
    <t>LE7508466865</t>
  </si>
  <si>
    <t>LE7508502446</t>
  </si>
  <si>
    <t>LE7508511900</t>
  </si>
  <si>
    <t>MX7512749605</t>
  </si>
  <si>
    <t>MX7512762479</t>
  </si>
  <si>
    <t>SA7514149973</t>
  </si>
  <si>
    <t>LE9012029786</t>
  </si>
  <si>
    <t>KI7508881457</t>
  </si>
  <si>
    <t>LE9012024724</t>
  </si>
  <si>
    <t>FS9012044604</t>
  </si>
  <si>
    <t>KI9012045209</t>
  </si>
  <si>
    <t>LE7508504362</t>
  </si>
  <si>
    <t>LE7510101850</t>
  </si>
  <si>
    <t>KI9012028319</t>
  </si>
  <si>
    <t>LE9012039002</t>
  </si>
  <si>
    <t>SA7514076943</t>
  </si>
  <si>
    <t>KI9012061818</t>
  </si>
  <si>
    <t>KI7508825215</t>
  </si>
  <si>
    <t>KI7508879512</t>
  </si>
  <si>
    <t>LE9012040431</t>
  </si>
  <si>
    <t>KI9012052463</t>
  </si>
  <si>
    <t>LE9012033190</t>
  </si>
  <si>
    <t>KI7508878875</t>
  </si>
  <si>
    <t>LE9012047218</t>
  </si>
  <si>
    <t>FS7512160742</t>
  </si>
  <si>
    <t>KI7508884019</t>
  </si>
  <si>
    <t>KI9012028515</t>
  </si>
  <si>
    <t>CH7503638908</t>
  </si>
  <si>
    <t>LE0060897709</t>
  </si>
  <si>
    <t>FS7512146545</t>
  </si>
  <si>
    <t>KI7508795553</t>
  </si>
  <si>
    <t>KI7508852292</t>
  </si>
  <si>
    <t>LE7510093062</t>
  </si>
  <si>
    <t>LE7510109057</t>
  </si>
  <si>
    <t>LE7510166053</t>
  </si>
  <si>
    <t>LE9012060371</t>
  </si>
  <si>
    <t>BW7513893516</t>
  </si>
  <si>
    <t>KI7508880689</t>
  </si>
  <si>
    <t>CC7503198381</t>
  </si>
  <si>
    <t>FS7512178502</t>
  </si>
  <si>
    <t>FS7512186934</t>
  </si>
  <si>
    <t>JG7503726732</t>
  </si>
  <si>
    <t>JR7513596608</t>
  </si>
  <si>
    <t>KA7513713444</t>
  </si>
  <si>
    <t>KI7500322464</t>
  </si>
  <si>
    <t>KI7500322947</t>
  </si>
  <si>
    <t>KI7500326280</t>
  </si>
  <si>
    <t>KI7508866853</t>
  </si>
  <si>
    <t>KI7508899789</t>
  </si>
  <si>
    <t>KI7508900650</t>
  </si>
  <si>
    <t>KI7508906075</t>
  </si>
  <si>
    <t>KI7508915278</t>
  </si>
  <si>
    <t>KI7508931169</t>
  </si>
  <si>
    <t>KI7508933679</t>
  </si>
  <si>
    <t>KI7508934036</t>
  </si>
  <si>
    <t>KI7508947123</t>
  </si>
  <si>
    <t>KI7508973186</t>
  </si>
  <si>
    <t>LE7510125972</t>
  </si>
  <si>
    <t>LY7507588656</t>
  </si>
  <si>
    <t>PD9011933297</t>
  </si>
  <si>
    <t>RW7502481901</t>
  </si>
  <si>
    <t>SA7514080210</t>
  </si>
  <si>
    <t>SA7514080939</t>
  </si>
  <si>
    <t>SA7514080990</t>
  </si>
  <si>
    <t>SL7507529684</t>
  </si>
  <si>
    <t>KI7500323733</t>
  </si>
  <si>
    <t>KI7508943326</t>
  </si>
  <si>
    <t>LE7508452607</t>
  </si>
  <si>
    <t>LE7510127727</t>
  </si>
  <si>
    <t>LE7510158114</t>
  </si>
  <si>
    <t>LE7510162020</t>
  </si>
  <si>
    <t>LE7510166239</t>
  </si>
  <si>
    <t>RY7506830821</t>
  </si>
  <si>
    <t>SA7514078160</t>
  </si>
  <si>
    <t>DA7507836039</t>
  </si>
  <si>
    <t>ID7512542956</t>
  </si>
  <si>
    <t>KI7508888460</t>
  </si>
  <si>
    <t>KI7508927974</t>
  </si>
  <si>
    <t>KI7508932586</t>
  </si>
  <si>
    <t>KI7508936279</t>
  </si>
  <si>
    <t>LE7510095002</t>
  </si>
  <si>
    <t>LE7510169421</t>
  </si>
  <si>
    <t>MN7513090531</t>
  </si>
  <si>
    <t>GW7514770312</t>
  </si>
  <si>
    <t>HD7514720518</t>
  </si>
  <si>
    <t>HD7514722584</t>
  </si>
  <si>
    <t>ID7512542124</t>
  </si>
  <si>
    <t>ID7512543087</t>
  </si>
  <si>
    <t>KI7508880636</t>
  </si>
  <si>
    <t>KI7508912653</t>
  </si>
  <si>
    <t>KI7508913026</t>
  </si>
  <si>
    <t>KI7508918610</t>
  </si>
  <si>
    <t>KI7508924370</t>
  </si>
  <si>
    <t>KI7508929756</t>
  </si>
  <si>
    <t>KI7508945282</t>
  </si>
  <si>
    <t>KI7508954122</t>
  </si>
  <si>
    <t>KI7508955316</t>
  </si>
  <si>
    <t>KI7508965901</t>
  </si>
  <si>
    <t>AM7513777544</t>
  </si>
  <si>
    <t>AP7504159988</t>
  </si>
  <si>
    <t>FS7512389817</t>
  </si>
  <si>
    <t>FS7512389847</t>
  </si>
  <si>
    <t>ID7512540085</t>
  </si>
  <si>
    <t>JG7503726836</t>
  </si>
  <si>
    <t>JG7503727177</t>
  </si>
  <si>
    <t>KI7500322244</t>
  </si>
  <si>
    <t>KI7500323192</t>
  </si>
  <si>
    <t>KI7508906257</t>
  </si>
  <si>
    <t>KI7508909409</t>
  </si>
  <si>
    <t>KI7508912940</t>
  </si>
  <si>
    <t>KI7508926147</t>
  </si>
  <si>
    <t>KI7508930377</t>
  </si>
  <si>
    <t>KI7508954143</t>
  </si>
  <si>
    <t>LE7510162417</t>
  </si>
  <si>
    <t>KI7508803782</t>
  </si>
  <si>
    <t>TH9011809492</t>
  </si>
  <si>
    <t>FJ0126211356</t>
  </si>
  <si>
    <t>KI0724231569</t>
  </si>
  <si>
    <t>FS0751218300</t>
  </si>
  <si>
    <t>AT7504326552</t>
  </si>
  <si>
    <t>KI0043574735</t>
  </si>
  <si>
    <t>KI0750032312</t>
  </si>
  <si>
    <t>KI0485864254</t>
  </si>
  <si>
    <t>KI0043577762</t>
  </si>
  <si>
    <t>KI0717911675</t>
  </si>
  <si>
    <t>KI0723312273</t>
  </si>
  <si>
    <t>SK0122348432</t>
  </si>
  <si>
    <t>KI7500328210</t>
  </si>
  <si>
    <t>FS0751219535</t>
  </si>
  <si>
    <t>PT0701806194</t>
  </si>
  <si>
    <t>KI7508980680</t>
  </si>
  <si>
    <t>ID9012076199</t>
  </si>
  <si>
    <t>TP0708637083</t>
  </si>
  <si>
    <t>LE0394735424</t>
  </si>
  <si>
    <t>LE7510168048</t>
  </si>
  <si>
    <t>LE0717798587</t>
  </si>
  <si>
    <t>LE7510182022</t>
  </si>
  <si>
    <t>LE7510193940</t>
  </si>
  <si>
    <t>LE7510175963</t>
  </si>
  <si>
    <t>LE7510146187</t>
  </si>
  <si>
    <t>LE7510139394</t>
  </si>
  <si>
    <t>LE7510169226</t>
  </si>
  <si>
    <t>SL9012090429</t>
  </si>
  <si>
    <t>LE7510193683</t>
  </si>
  <si>
    <t>SL7508019491</t>
  </si>
  <si>
    <t>SL7507529900</t>
  </si>
  <si>
    <t>SL7508019484</t>
  </si>
  <si>
    <t>LE7510167220</t>
  </si>
  <si>
    <t>LE7510175303</t>
  </si>
  <si>
    <t>LE7510182206</t>
  </si>
  <si>
    <t>LE7510183595</t>
  </si>
  <si>
    <t>LE7510185549</t>
  </si>
  <si>
    <t>ID9012088968</t>
  </si>
  <si>
    <t>SA7514081853</t>
  </si>
  <si>
    <t>ID9012088389</t>
  </si>
  <si>
    <t>LO9011939769</t>
  </si>
  <si>
    <t>ID7512550809</t>
  </si>
  <si>
    <t>SA7514082305</t>
  </si>
  <si>
    <t>ID9012085422</t>
  </si>
  <si>
    <t>ID9011575383</t>
  </si>
  <si>
    <t>ID9011575260</t>
  </si>
  <si>
    <t>ID9012084119</t>
  </si>
  <si>
    <t>KI9012057674</t>
  </si>
  <si>
    <t>ID9011574976</t>
  </si>
  <si>
    <t>ID9012083932</t>
  </si>
  <si>
    <t>ID7512545611</t>
  </si>
  <si>
    <t>ID9011574995</t>
  </si>
  <si>
    <t>ID9012075195</t>
  </si>
  <si>
    <t>ID9011576237</t>
  </si>
  <si>
    <t>ID7512550568</t>
  </si>
  <si>
    <t>ID9012085388</t>
  </si>
  <si>
    <t>ID9012083979</t>
  </si>
  <si>
    <t>ID7512549448</t>
  </si>
  <si>
    <t>LQ7504019921</t>
  </si>
  <si>
    <t>ID0060927617</t>
  </si>
  <si>
    <t>ID9011940781</t>
  </si>
  <si>
    <t>RW7515007039</t>
  </si>
  <si>
    <t>ID7512548830</t>
  </si>
  <si>
    <t>RW7515006669</t>
  </si>
  <si>
    <t>LE9012073222</t>
  </si>
  <si>
    <t>LE9012073712</t>
  </si>
  <si>
    <t>ID7512550275</t>
  </si>
  <si>
    <t>LE7510187835</t>
  </si>
  <si>
    <t>LE7510183951</t>
  </si>
  <si>
    <t>RW7515002026</t>
  </si>
  <si>
    <t>RW7515002896</t>
  </si>
  <si>
    <t>LE7510192288</t>
  </si>
  <si>
    <t>KI7508950074</t>
  </si>
  <si>
    <t>LE7510184968</t>
  </si>
  <si>
    <t>KI7508888318</t>
  </si>
  <si>
    <t>LE7510178053</t>
  </si>
  <si>
    <t>KI7509006397</t>
  </si>
  <si>
    <t>KI7509008158</t>
  </si>
  <si>
    <t>KI7508988237</t>
  </si>
  <si>
    <t>KI7508952749</t>
  </si>
  <si>
    <t>KI9012076446</t>
  </si>
  <si>
    <t>KI7508983709</t>
  </si>
  <si>
    <t>KI7508983154</t>
  </si>
  <si>
    <t>KI7509014312</t>
  </si>
  <si>
    <t>AM7513777921</t>
  </si>
  <si>
    <t>AM7513778567</t>
  </si>
  <si>
    <t>KI7508982705</t>
  </si>
  <si>
    <t>KI7509006107</t>
  </si>
  <si>
    <t>KI7508979205</t>
  </si>
  <si>
    <t>KI7508993634</t>
  </si>
  <si>
    <t>KI7508999457</t>
  </si>
  <si>
    <t>KI7509005179</t>
  </si>
  <si>
    <t>KI7508985015</t>
  </si>
  <si>
    <t>KI7508989315</t>
  </si>
  <si>
    <t>KI7508986986</t>
  </si>
  <si>
    <t>KI7509000538</t>
  </si>
  <si>
    <t>LE9012076953</t>
  </si>
  <si>
    <t>KI0065320891</t>
  </si>
  <si>
    <t>KI0065324556</t>
  </si>
  <si>
    <t>KI7508987863</t>
  </si>
  <si>
    <t>KI9012070598</t>
  </si>
  <si>
    <t>KI7508965400</t>
  </si>
  <si>
    <t>KI9012069157</t>
  </si>
  <si>
    <t>KI7508981156</t>
  </si>
  <si>
    <t>KI9012078531</t>
  </si>
  <si>
    <t>KI9012066853</t>
  </si>
  <si>
    <t>KI7508965382</t>
  </si>
  <si>
    <t>KI9012072267</t>
  </si>
  <si>
    <t>KI9012078314</t>
  </si>
  <si>
    <t>KI9012076180</t>
  </si>
  <si>
    <t>KI7508963842</t>
  </si>
  <si>
    <t>KI7508993744</t>
  </si>
  <si>
    <t>KI9012072246</t>
  </si>
  <si>
    <t>KI9012074842</t>
  </si>
  <si>
    <t>KI7508911018</t>
  </si>
  <si>
    <t>KI9012067880</t>
  </si>
  <si>
    <t>KI9012073568</t>
  </si>
  <si>
    <t>KI9012077888</t>
  </si>
  <si>
    <t>KI7509688658</t>
  </si>
  <si>
    <t>KI7509009265</t>
  </si>
  <si>
    <t>KI7508965385</t>
  </si>
  <si>
    <t>KI9012065234</t>
  </si>
  <si>
    <t>KI7508999385</t>
  </si>
  <si>
    <t>KI9012066054</t>
  </si>
  <si>
    <t>KI9012067145</t>
  </si>
  <si>
    <t>KI0069918421</t>
  </si>
  <si>
    <t>KI7508980314</t>
  </si>
  <si>
    <t>KI7500328564</t>
  </si>
  <si>
    <t>KI9012080405</t>
  </si>
  <si>
    <t>KI9012077501</t>
  </si>
  <si>
    <t>KI7508997491</t>
  </si>
  <si>
    <t>KI7508997492</t>
  </si>
  <si>
    <t>KI7508993358</t>
  </si>
  <si>
    <t>KI7508981256</t>
  </si>
  <si>
    <t>KI7509013278</t>
  </si>
  <si>
    <t>KI7508994064</t>
  </si>
  <si>
    <t>BA7507942693</t>
  </si>
  <si>
    <t>BA7507942240</t>
  </si>
  <si>
    <t>KI7508712670</t>
  </si>
  <si>
    <t>BR7502732394</t>
  </si>
  <si>
    <t>KI0023098277</t>
  </si>
  <si>
    <t>KI0002309003</t>
  </si>
  <si>
    <t>KI9012072970</t>
  </si>
  <si>
    <t>KI7509005038</t>
  </si>
  <si>
    <t>KI7508828202</t>
  </si>
  <si>
    <t>KI7500332699</t>
  </si>
  <si>
    <t>KI9012073208</t>
  </si>
  <si>
    <t>KI7509015710</t>
  </si>
  <si>
    <t>KI9012077360</t>
  </si>
  <si>
    <t>PW9012090189</t>
  </si>
  <si>
    <t>PW7513565356</t>
  </si>
  <si>
    <t>ID7512546141</t>
  </si>
  <si>
    <t>FS9012063417</t>
  </si>
  <si>
    <t>FS7512206201</t>
  </si>
  <si>
    <t>FS7512178085</t>
  </si>
  <si>
    <t>FS7512193628</t>
  </si>
  <si>
    <t>FS9012080668</t>
  </si>
  <si>
    <t>FS9012057485</t>
  </si>
  <si>
    <t>FS9012078184</t>
  </si>
  <si>
    <t>FS9012076280</t>
  </si>
  <si>
    <t>FS7512201036</t>
  </si>
  <si>
    <t>RN9010907212</t>
  </si>
  <si>
    <t>SP7515051342</t>
  </si>
  <si>
    <t>SW9012085643</t>
  </si>
  <si>
    <t>KI7508962113</t>
  </si>
  <si>
    <t>SW9012079861</t>
  </si>
  <si>
    <t>SW9012089943</t>
  </si>
  <si>
    <t>RN9012081155</t>
  </si>
  <si>
    <t>RN9012080407</t>
  </si>
  <si>
    <t>RN9012084871</t>
  </si>
  <si>
    <t>RW7515002811</t>
  </si>
  <si>
    <t>LE0992022459</t>
  </si>
  <si>
    <t>AT0060881826</t>
  </si>
  <si>
    <t>LE0060939915</t>
  </si>
  <si>
    <t>CD7503607621</t>
  </si>
  <si>
    <t>LE7510117378</t>
  </si>
  <si>
    <t>KL7513699252</t>
  </si>
  <si>
    <t>VR0126278546</t>
  </si>
  <si>
    <t>VR0126279603</t>
  </si>
  <si>
    <t>CD7503607608</t>
  </si>
  <si>
    <t>MR7503772047</t>
  </si>
  <si>
    <t>RW0126198513</t>
  </si>
  <si>
    <t>JD7504341222</t>
  </si>
  <si>
    <t>OK7514474258</t>
  </si>
  <si>
    <t>OK7514369496</t>
  </si>
  <si>
    <t>OK7514474099</t>
  </si>
  <si>
    <t>JM7514163594</t>
  </si>
  <si>
    <t>JR7515285371</t>
  </si>
  <si>
    <t>FS7512222955</t>
  </si>
  <si>
    <t>JR7513596908</t>
  </si>
  <si>
    <t>FS7512219512</t>
  </si>
  <si>
    <t>FS7512223686</t>
  </si>
  <si>
    <t>FS7512396587</t>
  </si>
  <si>
    <t>FS7512396754</t>
  </si>
  <si>
    <t>FS7512395008</t>
  </si>
  <si>
    <t>FS7512222101</t>
  </si>
  <si>
    <t>DP7504477270</t>
  </si>
  <si>
    <t>LE9012080751</t>
  </si>
  <si>
    <t>LE9012090402</t>
  </si>
  <si>
    <t>SA7514081572</t>
  </si>
  <si>
    <t>SA7514082102</t>
  </si>
  <si>
    <t>SL7507531443</t>
  </si>
  <si>
    <t>SA7514081832</t>
  </si>
  <si>
    <t>SA7515160700</t>
  </si>
  <si>
    <t>RN9010907255</t>
  </si>
  <si>
    <t>SL9011945729</t>
  </si>
  <si>
    <t>RN9012094564</t>
  </si>
  <si>
    <t>RN9012094657</t>
  </si>
  <si>
    <t>SL9012096206</t>
  </si>
  <si>
    <t>FS7512219514</t>
  </si>
  <si>
    <t>FS7512211721</t>
  </si>
  <si>
    <t>FS7512220768</t>
  </si>
  <si>
    <t>FS7512223923</t>
  </si>
  <si>
    <t>FS7512395048</t>
  </si>
  <si>
    <t>KI9012078510</t>
  </si>
  <si>
    <t>KI9012076425</t>
  </si>
  <si>
    <t>KI9012073106</t>
  </si>
  <si>
    <t>MX7512768708</t>
  </si>
  <si>
    <t>KI7508981966</t>
  </si>
  <si>
    <t>KI9012048515</t>
  </si>
  <si>
    <t>KI9012077332</t>
  </si>
  <si>
    <t>KI9012073839</t>
  </si>
  <si>
    <t>KI9012076239</t>
  </si>
  <si>
    <t>KI9012078513</t>
  </si>
  <si>
    <t>KI9012069246</t>
  </si>
  <si>
    <t>KI9012078511</t>
  </si>
  <si>
    <t>KI9012078512</t>
  </si>
  <si>
    <t>MM9011938379</t>
  </si>
  <si>
    <t>MM9011935990</t>
  </si>
  <si>
    <t>MM9011942703</t>
  </si>
  <si>
    <t>MM9011935862</t>
  </si>
  <si>
    <t>MX7512771057</t>
  </si>
  <si>
    <t>MX7512771479</t>
  </si>
  <si>
    <t>MX9012058827</t>
  </si>
  <si>
    <t>FS9012083597</t>
  </si>
  <si>
    <t>FS7512199285</t>
  </si>
  <si>
    <t>FS7512203614</t>
  </si>
  <si>
    <t>FS9012070574</t>
  </si>
  <si>
    <t>GW7514773567</t>
  </si>
  <si>
    <t>MM7505091921</t>
  </si>
  <si>
    <t>MM9011809383</t>
  </si>
  <si>
    <t>MM9011808132</t>
  </si>
  <si>
    <t>MM7505091767</t>
  </si>
  <si>
    <t>MM9011816022</t>
  </si>
  <si>
    <t>MM9011940596</t>
  </si>
  <si>
    <t>GW9011946856</t>
  </si>
  <si>
    <t>GW7514773046</t>
  </si>
  <si>
    <t>SP7515051743</t>
  </si>
  <si>
    <t>FS7512223874</t>
  </si>
  <si>
    <t>FS7512200005</t>
  </si>
  <si>
    <t>SP7515051999</t>
  </si>
  <si>
    <t>FS7512219965</t>
  </si>
  <si>
    <t>MG7514817548</t>
  </si>
  <si>
    <t>FS7512214817</t>
  </si>
  <si>
    <t>SA7515162316</t>
  </si>
  <si>
    <t>MV7504031034</t>
  </si>
  <si>
    <t>SA7515162093</t>
  </si>
  <si>
    <t>LE7510173088</t>
  </si>
  <si>
    <t>LE7510201105</t>
  </si>
  <si>
    <t>MX7512769959</t>
  </si>
  <si>
    <t>LE7510171468</t>
  </si>
  <si>
    <t>LE7510153152</t>
  </si>
  <si>
    <t>KI7500329784</t>
  </si>
  <si>
    <t>LE7510202622</t>
  </si>
  <si>
    <t>KI9012077222</t>
  </si>
  <si>
    <t>LE7510206835</t>
  </si>
  <si>
    <t>LE7501242492</t>
  </si>
  <si>
    <t>LE7510204194</t>
  </si>
  <si>
    <t>LE7510201849</t>
  </si>
  <si>
    <t>LE7510200685</t>
  </si>
  <si>
    <t>LE7510208783</t>
  </si>
  <si>
    <t>LE7510200457</t>
  </si>
  <si>
    <t>AM7513779332</t>
  </si>
  <si>
    <t>QD7514030685</t>
  </si>
  <si>
    <t>QD7514030664</t>
  </si>
  <si>
    <t>OK7514475339</t>
  </si>
  <si>
    <t>LE7510178618</t>
  </si>
  <si>
    <t>LE7510203901</t>
  </si>
  <si>
    <t>PR7506960303</t>
  </si>
  <si>
    <t>LE7510184031</t>
  </si>
  <si>
    <t>LE7510195848</t>
  </si>
  <si>
    <t>LE7510179373</t>
  </si>
  <si>
    <t>LE7510194418</t>
  </si>
  <si>
    <t>LE9012076199</t>
  </si>
  <si>
    <t>KI0038944221</t>
  </si>
  <si>
    <t>KI9012032089</t>
  </si>
  <si>
    <t>LE0599585135</t>
  </si>
  <si>
    <t>LE0125876809</t>
  </si>
  <si>
    <t>LE0125823650</t>
  </si>
  <si>
    <t>OK0125431698</t>
  </si>
  <si>
    <t>WC0126096806</t>
  </si>
  <si>
    <t>KI0043544262</t>
  </si>
  <si>
    <t>DY0599371283</t>
  </si>
  <si>
    <t>GW0126303592</t>
  </si>
  <si>
    <t>LE0599827909</t>
  </si>
  <si>
    <t>KI0424941499</t>
  </si>
  <si>
    <t>LE0125890835</t>
  </si>
  <si>
    <t>KI0424920149</t>
  </si>
  <si>
    <t>LE0599602714</t>
  </si>
  <si>
    <t>SA0598082969</t>
  </si>
  <si>
    <t>LE0599858567</t>
  </si>
  <si>
    <t>GK0125309660</t>
  </si>
  <si>
    <t>LE0394921919</t>
  </si>
  <si>
    <t>SL0599359574</t>
  </si>
  <si>
    <t>SA0126236299</t>
  </si>
  <si>
    <t>SW0125554889</t>
  </si>
  <si>
    <t>ID0126294208</t>
  </si>
  <si>
    <t>SW0126178127</t>
  </si>
  <si>
    <t>LE0125830113</t>
  </si>
  <si>
    <t>SL0126161531</t>
  </si>
  <si>
    <t>BM0124279351</t>
  </si>
  <si>
    <t>SW0125261764</t>
  </si>
  <si>
    <t>LE0126300135</t>
  </si>
  <si>
    <t>GW0599951437</t>
  </si>
  <si>
    <t>RN0125352979</t>
  </si>
  <si>
    <t>SH0125428379</t>
  </si>
  <si>
    <t>PP0394808171</t>
  </si>
  <si>
    <t>LE0126300128</t>
  </si>
  <si>
    <t>SP0126271175</t>
  </si>
  <si>
    <t>MX0394996763</t>
  </si>
  <si>
    <t>KI0424948751</t>
  </si>
  <si>
    <t>KI0424934666</t>
  </si>
  <si>
    <t>GK0599248305</t>
  </si>
  <si>
    <t>MR0593655806</t>
  </si>
  <si>
    <t>LE0599885410</t>
  </si>
  <si>
    <t>KI0645386743</t>
  </si>
  <si>
    <t>SA0599813244</t>
  </si>
  <si>
    <t>RW0126198899</t>
  </si>
  <si>
    <t>LE0125889699</t>
  </si>
  <si>
    <t>LE0599599749</t>
  </si>
  <si>
    <t>SL0126163711</t>
  </si>
  <si>
    <t>LE0599837388</t>
  </si>
  <si>
    <t>LE0599837401</t>
  </si>
  <si>
    <t>KI0702217564</t>
  </si>
  <si>
    <t>KI7508980398</t>
  </si>
  <si>
    <t>MX0599531636</t>
  </si>
  <si>
    <t>RN0553420412</t>
  </si>
  <si>
    <t>SI0125628680</t>
  </si>
  <si>
    <t>SI0125628679</t>
  </si>
  <si>
    <t>SI0125628678</t>
  </si>
  <si>
    <t>LE0295291345</t>
  </si>
  <si>
    <t>HR0126358366</t>
  </si>
  <si>
    <t>LE0125727133</t>
  </si>
  <si>
    <t>LE0295283095</t>
  </si>
  <si>
    <t>LE0295283187</t>
  </si>
  <si>
    <t>KI0043652651</t>
  </si>
  <si>
    <t>KI0043652723</t>
  </si>
  <si>
    <t>NW0599928218</t>
  </si>
  <si>
    <t>KI0645427706</t>
  </si>
  <si>
    <t>GW7514767587</t>
  </si>
  <si>
    <t>RW0580026024</t>
  </si>
  <si>
    <t>SL9012054131</t>
  </si>
  <si>
    <t>KI9012073330</t>
  </si>
  <si>
    <t>ID0125498803</t>
  </si>
  <si>
    <t>KI7508936342</t>
  </si>
  <si>
    <t>OK9012159888</t>
  </si>
  <si>
    <t>KI9012020351</t>
  </si>
  <si>
    <t>HS9011772878</t>
  </si>
  <si>
    <t>MM9011735147</t>
  </si>
  <si>
    <t>AT7504825716</t>
  </si>
  <si>
    <t>GT7514188316</t>
  </si>
  <si>
    <t>NO9011784262</t>
  </si>
  <si>
    <t>HD9012174805</t>
  </si>
  <si>
    <t>LE7510010577</t>
  </si>
  <si>
    <t>KI0043480460</t>
  </si>
  <si>
    <t>AT0724231569</t>
  </si>
  <si>
    <t>ID0125592164</t>
  </si>
  <si>
    <t>KI0717849203</t>
  </si>
  <si>
    <t>UE7509875269</t>
  </si>
  <si>
    <t>AT7504325569</t>
  </si>
  <si>
    <t>BN0060747277</t>
  </si>
  <si>
    <t>LE7508297946</t>
  </si>
  <si>
    <t>KI9012155692</t>
  </si>
  <si>
    <t>KI7508597435</t>
  </si>
  <si>
    <t>LE0750840399</t>
  </si>
  <si>
    <t>ID7504325934</t>
  </si>
  <si>
    <t>KI7520865047</t>
  </si>
  <si>
    <t>AT7504325268</t>
  </si>
  <si>
    <t>MM0069531470</t>
  </si>
  <si>
    <t>PW0599946025</t>
  </si>
  <si>
    <t>KI7508710602</t>
  </si>
  <si>
    <t>KI0624531756</t>
  </si>
  <si>
    <t>PW0125674649</t>
  </si>
  <si>
    <t>DI7508807684</t>
  </si>
  <si>
    <t>KI0048595033</t>
  </si>
  <si>
    <t>AT0394757466</t>
  </si>
  <si>
    <t>FS0709245619</t>
  </si>
  <si>
    <t>KI0508672175</t>
  </si>
  <si>
    <t>LE9012014148</t>
  </si>
  <si>
    <t>KI0750863522</t>
  </si>
  <si>
    <t>AT7504326365</t>
  </si>
  <si>
    <t>LE0295483042</t>
  </si>
  <si>
    <t>FS7502136064</t>
  </si>
  <si>
    <t>KI0717908405</t>
  </si>
  <si>
    <t>RW7507324801</t>
  </si>
  <si>
    <t>KI0043484359</t>
  </si>
  <si>
    <t>KI0035679471</t>
  </si>
  <si>
    <t>KI0023000586</t>
  </si>
  <si>
    <t>ID0002653764</t>
  </si>
  <si>
    <t>KI0023470364</t>
  </si>
  <si>
    <t>AM7513778661</t>
  </si>
  <si>
    <t>AM7513833984</t>
  </si>
  <si>
    <t>AM7513841038</t>
  </si>
  <si>
    <t>AT7504325807</t>
  </si>
  <si>
    <t>AT7504326624</t>
  </si>
  <si>
    <t>AT7504326790</t>
  </si>
  <si>
    <t>AT7504326801</t>
  </si>
  <si>
    <t>AT7504326839</t>
  </si>
  <si>
    <t>AT7504326862</t>
  </si>
  <si>
    <t>AT7504326869</t>
  </si>
  <si>
    <t>AT7504326995</t>
  </si>
  <si>
    <t>AT7504327080</t>
  </si>
  <si>
    <t>AT7504327430</t>
  </si>
  <si>
    <t>BA7507942041</t>
  </si>
  <si>
    <t>BA7507943328</t>
  </si>
  <si>
    <t>BK0060184165</t>
  </si>
  <si>
    <t>BL7507542474</t>
  </si>
  <si>
    <t>BL7507542546</t>
  </si>
  <si>
    <t>BL7507542700</t>
  </si>
  <si>
    <t>BL7507542760</t>
  </si>
  <si>
    <t>BW7513893326</t>
  </si>
  <si>
    <t>CH0060762018</t>
  </si>
  <si>
    <t>CH7503639409</t>
  </si>
  <si>
    <t>DP7508558750</t>
  </si>
  <si>
    <t>DP7508561100</t>
  </si>
  <si>
    <t>FS7512043359</t>
  </si>
  <si>
    <t>FS7512072617</t>
  </si>
  <si>
    <t>FS7512073697</t>
  </si>
  <si>
    <t>FS7512095528</t>
  </si>
  <si>
    <t>FS7512103762</t>
  </si>
  <si>
    <t>FS7512111669</t>
  </si>
  <si>
    <t>FS7512113851</t>
  </si>
  <si>
    <t>FS7512117706</t>
  </si>
  <si>
    <t>FS7512131351</t>
  </si>
  <si>
    <t>FS7512132670</t>
  </si>
  <si>
    <t>FS7512135437</t>
  </si>
  <si>
    <t>FS7512136318</t>
  </si>
  <si>
    <t>FS7512153689</t>
  </si>
  <si>
    <t>FS7512154491</t>
  </si>
  <si>
    <t>FS7512159221</t>
  </si>
  <si>
    <t>FS7512161923</t>
  </si>
  <si>
    <t>FS7512162930</t>
  </si>
  <si>
    <t>FS7512166469</t>
  </si>
  <si>
    <t>FS7512166542</t>
  </si>
  <si>
    <t>FS7512167233</t>
  </si>
  <si>
    <t>FS7512167624</t>
  </si>
  <si>
    <t>FS7512176376</t>
  </si>
  <si>
    <t>FS7512176623</t>
  </si>
  <si>
    <t>FS7512180263</t>
  </si>
  <si>
    <t>FS7512180469</t>
  </si>
  <si>
    <t>FS7512182317</t>
  </si>
  <si>
    <t>FS7512186947</t>
  </si>
  <si>
    <t>FS7512187814</t>
  </si>
  <si>
    <t>FS7512188248</t>
  </si>
  <si>
    <t>FS7512190153</t>
  </si>
  <si>
    <t>FS7512190159</t>
  </si>
  <si>
    <t>FS7512190563</t>
  </si>
  <si>
    <t>FS7512190681</t>
  </si>
  <si>
    <t>FS7512191022</t>
  </si>
  <si>
    <t>FS7512191975</t>
  </si>
  <si>
    <t>FS7512192710</t>
  </si>
  <si>
    <t>FS7512193548</t>
  </si>
  <si>
    <t>FS7512194028</t>
  </si>
  <si>
    <t>FS7512194729</t>
  </si>
  <si>
    <t>FS7512195936</t>
  </si>
  <si>
    <t>FS7512209313</t>
  </si>
  <si>
    <t>FS7512372582</t>
  </si>
  <si>
    <t>FS7512375143</t>
  </si>
  <si>
    <t>FS7512384056</t>
  </si>
  <si>
    <t>FS7512387974</t>
  </si>
  <si>
    <t>FS7512388735</t>
  </si>
  <si>
    <t>FS7512388763</t>
  </si>
  <si>
    <t>FS7512389021</t>
  </si>
  <si>
    <t>FS7512389176</t>
  </si>
  <si>
    <t>FS7512389369</t>
  </si>
  <si>
    <t>FS7512390121</t>
  </si>
  <si>
    <t>FS9012017488</t>
  </si>
  <si>
    <t>FS9012054655</t>
  </si>
  <si>
    <t>GW7514766422</t>
  </si>
  <si>
    <t>GW7514767485</t>
  </si>
  <si>
    <t>GW7514769004</t>
  </si>
  <si>
    <t>GW7514770536</t>
  </si>
  <si>
    <t>GW9011033591</t>
  </si>
  <si>
    <t>GW9011112089</t>
  </si>
  <si>
    <t>HD7514717883</t>
  </si>
  <si>
    <t>HD7514721405</t>
  </si>
  <si>
    <t>HD7514722330</t>
  </si>
  <si>
    <t>ID0060887742</t>
  </si>
  <si>
    <t>ID7501542511</t>
  </si>
  <si>
    <t>ID7512527622</t>
  </si>
  <si>
    <t>ID7512531862</t>
  </si>
  <si>
    <t>ID7512533417</t>
  </si>
  <si>
    <t>ID7512539376</t>
  </si>
  <si>
    <t>ID7512540279</t>
  </si>
  <si>
    <t>ID7512542849</t>
  </si>
  <si>
    <t>ID7512545617</t>
  </si>
  <si>
    <t>ID7512546782</t>
  </si>
  <si>
    <t>ID7512546795</t>
  </si>
  <si>
    <t>ID7512546998</t>
  </si>
  <si>
    <t>ID7512549102</t>
  </si>
  <si>
    <t>ID9012055518</t>
  </si>
  <si>
    <t>ID9012072442</t>
  </si>
  <si>
    <t>JN7503985738</t>
  </si>
  <si>
    <t>JN7503985994</t>
  </si>
  <si>
    <t>JR7513596615</t>
  </si>
  <si>
    <t>JR7513596854</t>
  </si>
  <si>
    <t>JR7513597070</t>
  </si>
  <si>
    <t>JR9011928886</t>
  </si>
  <si>
    <t>KA7513711863</t>
  </si>
  <si>
    <t>KA7513712579</t>
  </si>
  <si>
    <t>KA7513715480</t>
  </si>
  <si>
    <t>KI7500303876</t>
  </si>
  <si>
    <t>KI7500320353</t>
  </si>
  <si>
    <t>KI7500321057</t>
  </si>
  <si>
    <t>KI7500323928</t>
  </si>
  <si>
    <t>KI7500325335</t>
  </si>
  <si>
    <t>KI7506232197</t>
  </si>
  <si>
    <t>KI7508610743</t>
  </si>
  <si>
    <t>KI7508639849</t>
  </si>
  <si>
    <t>KI7508647245</t>
  </si>
  <si>
    <t>KI7508648615</t>
  </si>
  <si>
    <t>KI7508667689</t>
  </si>
  <si>
    <t>KI7508668775</t>
  </si>
  <si>
    <t>KI7508692864</t>
  </si>
  <si>
    <t>KI7508708225</t>
  </si>
  <si>
    <t>KI7508732855</t>
  </si>
  <si>
    <t>KI7508754783</t>
  </si>
  <si>
    <t>KI7508768265</t>
  </si>
  <si>
    <t>KI7508774311</t>
  </si>
  <si>
    <t>KI7508802203</t>
  </si>
  <si>
    <t>KI7508803787</t>
  </si>
  <si>
    <t>KI7508811555</t>
  </si>
  <si>
    <t>KI7508813260</t>
  </si>
  <si>
    <t>KI7508813439</t>
  </si>
  <si>
    <t>KI7508819823</t>
  </si>
  <si>
    <t>KI7508821033</t>
  </si>
  <si>
    <t>KI7508824644</t>
  </si>
  <si>
    <t>KI7508824763</t>
  </si>
  <si>
    <t>KI7508830565</t>
  </si>
  <si>
    <t>KI7508837172</t>
  </si>
  <si>
    <t>KI7508839816</t>
  </si>
  <si>
    <t>KI7508841183</t>
  </si>
  <si>
    <t>KI7508846051</t>
  </si>
  <si>
    <t>KI7508863967</t>
  </si>
  <si>
    <t>KI7508869874</t>
  </si>
  <si>
    <t>KI7508870147</t>
  </si>
  <si>
    <t>KI7508870530</t>
  </si>
  <si>
    <t>KI7508871074</t>
  </si>
  <si>
    <t>KI7508878214</t>
  </si>
  <si>
    <t>KI7508878757</t>
  </si>
  <si>
    <t>KI7508882223</t>
  </si>
  <si>
    <t>KI7508886749</t>
  </si>
  <si>
    <t>KI7508901007</t>
  </si>
  <si>
    <t>KI7508909159</t>
  </si>
  <si>
    <t>KI7508911598</t>
  </si>
  <si>
    <t>KI7508917546</t>
  </si>
  <si>
    <t>KI7508919493</t>
  </si>
  <si>
    <t>KI7508923991</t>
  </si>
  <si>
    <t>KI7508925095</t>
  </si>
  <si>
    <t>KI7508928431</t>
  </si>
  <si>
    <t>KI7508933546</t>
  </si>
  <si>
    <t>KI7508933986</t>
  </si>
  <si>
    <t>KI7508935468</t>
  </si>
  <si>
    <t>KI7508936693</t>
  </si>
  <si>
    <t>KI7508936706</t>
  </si>
  <si>
    <t>KI7508942595</t>
  </si>
  <si>
    <t>KI7508942723</t>
  </si>
  <si>
    <t>KI7508943863</t>
  </si>
  <si>
    <t>KI7508945504</t>
  </si>
  <si>
    <t>KI7508947132</t>
  </si>
  <si>
    <t>KI7508947353</t>
  </si>
  <si>
    <t>KI7508947421</t>
  </si>
  <si>
    <t>KI7508948827</t>
  </si>
  <si>
    <t>KI7508949301</t>
  </si>
  <si>
    <t>KI7508952773</t>
  </si>
  <si>
    <t>KI7508958456</t>
  </si>
  <si>
    <t>KI7508960030</t>
  </si>
  <si>
    <t>KI7508960411</t>
  </si>
  <si>
    <t>KI7508966549</t>
  </si>
  <si>
    <t>KI7508977181</t>
  </si>
  <si>
    <t>KI7508979769</t>
  </si>
  <si>
    <t>KI7509761504</t>
  </si>
  <si>
    <t>KI9011033234</t>
  </si>
  <si>
    <t>KI9011033235</t>
  </si>
  <si>
    <t>KI9011925965</t>
  </si>
  <si>
    <t>KI9012054947</t>
  </si>
  <si>
    <t>KI9012058667</t>
  </si>
  <si>
    <t>KI9012059808</t>
  </si>
  <si>
    <t>KI9012061821</t>
  </si>
  <si>
    <t>KI9012069791</t>
  </si>
  <si>
    <t>KI9012184181</t>
  </si>
  <si>
    <t>KL7513698708</t>
  </si>
  <si>
    <t>KL7513698959</t>
  </si>
  <si>
    <t>KP7514170668</t>
  </si>
  <si>
    <t>KS7514343193</t>
  </si>
  <si>
    <t>LE0060899305</t>
  </si>
  <si>
    <t>LE7501240659</t>
  </si>
  <si>
    <t>LE7508405357</t>
  </si>
  <si>
    <t>LE7508409030</t>
  </si>
  <si>
    <t>LE7508418396</t>
  </si>
  <si>
    <t>LE7508467423</t>
  </si>
  <si>
    <t>LE7508471079</t>
  </si>
  <si>
    <t>LE7508498979</t>
  </si>
  <si>
    <t>LE7508503537</t>
  </si>
  <si>
    <t>LE7508508031</t>
  </si>
  <si>
    <t>LE7508511356</t>
  </si>
  <si>
    <t>LE7508518543</t>
  </si>
  <si>
    <t>LE7508524131</t>
  </si>
  <si>
    <t>LE7508532057</t>
  </si>
  <si>
    <t>LE7510099053</t>
  </si>
  <si>
    <t>LE7510100626</t>
  </si>
  <si>
    <t>LE7510101954</t>
  </si>
  <si>
    <t>LE7510104161</t>
  </si>
  <si>
    <t>LE7510107707</t>
  </si>
  <si>
    <t>LE7510107842</t>
  </si>
  <si>
    <t>LE7510108215</t>
  </si>
  <si>
    <t>LE7510108959</t>
  </si>
  <si>
    <t>LE7510110197</t>
  </si>
  <si>
    <t>LE7510116132</t>
  </si>
  <si>
    <t>LE7510118811</t>
  </si>
  <si>
    <t>LE7510125879</t>
  </si>
  <si>
    <t>LE7510126214</t>
  </si>
  <si>
    <t>LE7510130882</t>
  </si>
  <si>
    <t>LE7510131096</t>
  </si>
  <si>
    <t>LE7510131584</t>
  </si>
  <si>
    <t>LE7510134168</t>
  </si>
  <si>
    <t>LE7510134449</t>
  </si>
  <si>
    <t>LE7510135953</t>
  </si>
  <si>
    <t>LE7510148983</t>
  </si>
  <si>
    <t>LE7510152911</t>
  </si>
  <si>
    <t>LE7510154499</t>
  </si>
  <si>
    <t>LE7510156197</t>
  </si>
  <si>
    <t>LE7510157131</t>
  </si>
  <si>
    <t>LE7510157943</t>
  </si>
  <si>
    <t>LE7510160663</t>
  </si>
  <si>
    <t>LE7510164232</t>
  </si>
  <si>
    <t>LE7510165512</t>
  </si>
  <si>
    <t>LE7510166933</t>
  </si>
  <si>
    <t>LE7510167671</t>
  </si>
  <si>
    <t>LE9012022110</t>
  </si>
  <si>
    <t>LE9012041839</t>
  </si>
  <si>
    <t>LE9012056376</t>
  </si>
  <si>
    <t>LE9012056650</t>
  </si>
  <si>
    <t>LE9012059124</t>
  </si>
  <si>
    <t>LE9012059370</t>
  </si>
  <si>
    <t>LE9012060387</t>
  </si>
  <si>
    <t>LE9012061812</t>
  </si>
  <si>
    <t>LE9012080212</t>
  </si>
  <si>
    <t>LE9012080587</t>
  </si>
  <si>
    <t>LE9012084450</t>
  </si>
  <si>
    <t>LO7504252948</t>
  </si>
  <si>
    <t>MG7514817185</t>
  </si>
  <si>
    <t>ML7507574857</t>
  </si>
  <si>
    <t>MM7505088806</t>
  </si>
  <si>
    <t>MM7505089062</t>
  </si>
  <si>
    <t>MM7505089206</t>
  </si>
  <si>
    <t>MM9011785147</t>
  </si>
  <si>
    <t>MM9011788738</t>
  </si>
  <si>
    <t>MM9011806467</t>
  </si>
  <si>
    <t>MN7513081880</t>
  </si>
  <si>
    <t>MN7513082870</t>
  </si>
  <si>
    <t>MN7513083040</t>
  </si>
  <si>
    <t>MN7513083475</t>
  </si>
  <si>
    <t>MN7513086288</t>
  </si>
  <si>
    <t>MN7513086808</t>
  </si>
  <si>
    <t>MN7513089817</t>
  </si>
  <si>
    <t>MN7513091660</t>
  </si>
  <si>
    <t>MN7513091820</t>
  </si>
  <si>
    <t>MN7513092557</t>
  </si>
  <si>
    <t>MN7513092631</t>
  </si>
  <si>
    <t>MN7513092642</t>
  </si>
  <si>
    <t>MX7512745847</t>
  </si>
  <si>
    <t>MX7512751665</t>
  </si>
  <si>
    <t>MX7512761205</t>
  </si>
  <si>
    <t>MX7512762238</t>
  </si>
  <si>
    <t>MX7512764781</t>
  </si>
  <si>
    <t>MX7512765291</t>
  </si>
  <si>
    <t>MX7512765541</t>
  </si>
  <si>
    <t>MX7512765789</t>
  </si>
  <si>
    <t>MX7512765993</t>
  </si>
  <si>
    <t>MX7512767792</t>
  </si>
  <si>
    <t>MX7512768709</t>
  </si>
  <si>
    <t>MX7512768835</t>
  </si>
  <si>
    <t>MX7512768921</t>
  </si>
  <si>
    <t>MX9012072279</t>
  </si>
  <si>
    <t>OK7514312809</t>
  </si>
  <si>
    <t>OK7514313551</t>
  </si>
  <si>
    <t>OK7514315316</t>
  </si>
  <si>
    <t>OK7514315427</t>
  </si>
  <si>
    <t>OK7514468963</t>
  </si>
  <si>
    <t>OK7514472535</t>
  </si>
  <si>
    <t>OT7504415462</t>
  </si>
  <si>
    <t>PR7506959851</t>
  </si>
  <si>
    <t>PR7506959963</t>
  </si>
  <si>
    <t>PW7502658432</t>
  </si>
  <si>
    <t>PW7502658556</t>
  </si>
  <si>
    <t>PW7513561281</t>
  </si>
  <si>
    <t>PW7513562835</t>
  </si>
  <si>
    <t>PW7513564098</t>
  </si>
  <si>
    <t>QD9011819746</t>
  </si>
  <si>
    <t>RN7503439071</t>
  </si>
  <si>
    <t>RN7514617853</t>
  </si>
  <si>
    <t>RN9012059990</t>
  </si>
  <si>
    <t>RN9012072863</t>
  </si>
  <si>
    <t>RN9012073041</t>
  </si>
  <si>
    <t>RN9012077858</t>
  </si>
  <si>
    <t>RN9012079244</t>
  </si>
  <si>
    <t>RR7503681236</t>
  </si>
  <si>
    <t>RW0060928284</t>
  </si>
  <si>
    <t>RW0060944415</t>
  </si>
  <si>
    <t>RW0060944418</t>
  </si>
  <si>
    <t>RW7502482089</t>
  </si>
  <si>
    <t>RW7507278902</t>
  </si>
  <si>
    <t>RW7507287997</t>
  </si>
  <si>
    <t>RW7507289570</t>
  </si>
  <si>
    <t>RW7507289941</t>
  </si>
  <si>
    <t>RW7507290392</t>
  </si>
  <si>
    <t>RW7507290641</t>
  </si>
  <si>
    <t>RW7507290685</t>
  </si>
  <si>
    <t>RW7507290719</t>
  </si>
  <si>
    <t>RW7507291147</t>
  </si>
  <si>
    <t>RW7507292034</t>
  </si>
  <si>
    <t>RW7507292932</t>
  </si>
  <si>
    <t>RW7507296184</t>
  </si>
  <si>
    <t>RW7507298127</t>
  </si>
  <si>
    <t>RW7507298186</t>
  </si>
  <si>
    <t>RW7507299754</t>
  </si>
  <si>
    <t>RW7507300576</t>
  </si>
  <si>
    <t>RW7507301263</t>
  </si>
  <si>
    <t>RW7507302982</t>
  </si>
  <si>
    <t>RW7507304801</t>
  </si>
  <si>
    <t>RW7507305871</t>
  </si>
  <si>
    <t>RW7514860097</t>
  </si>
  <si>
    <t>RW7515001831</t>
  </si>
  <si>
    <t>RW7515002715</t>
  </si>
  <si>
    <t>RW7515003434</t>
  </si>
  <si>
    <t>RW7515005400</t>
  </si>
  <si>
    <t>SA7514076997</t>
  </si>
  <si>
    <t>SA7514077245</t>
  </si>
  <si>
    <t>SA7514077313</t>
  </si>
  <si>
    <t>SA7514079219</t>
  </si>
  <si>
    <t>SA7514145048</t>
  </si>
  <si>
    <t>SA7514146093</t>
  </si>
  <si>
    <t>SA7514147719</t>
  </si>
  <si>
    <t>SA7514149264</t>
  </si>
  <si>
    <t>SD7507949761</t>
  </si>
  <si>
    <t>SL7507523825</t>
  </si>
  <si>
    <t>SL7507524770</t>
  </si>
  <si>
    <t>SL7507524859</t>
  </si>
  <si>
    <t>SL7507527679</t>
  </si>
  <si>
    <t>SL7507529443</t>
  </si>
  <si>
    <t>SL7507529770</t>
  </si>
  <si>
    <t>SL7507530193</t>
  </si>
  <si>
    <t>SL7507530825</t>
  </si>
  <si>
    <t>SP7514182873</t>
  </si>
  <si>
    <t>SP7514183393</t>
  </si>
  <si>
    <t>SQ9011813067</t>
  </si>
  <si>
    <t>SR7503828262</t>
  </si>
  <si>
    <t>TM7513952484</t>
  </si>
  <si>
    <t>TP7504618701</t>
  </si>
  <si>
    <t>TT7503489493</t>
  </si>
  <si>
    <t>VR7503501392</t>
  </si>
  <si>
    <t>WC9011779907</t>
  </si>
  <si>
    <t>TT0060889300</t>
  </si>
  <si>
    <t>55668 - DANISH TEMP</t>
  </si>
  <si>
    <t>44118 - ARIF KHAN</t>
  </si>
  <si>
    <t xml:space="preserve">Target % </t>
  </si>
  <si>
    <t>SR. %</t>
  </si>
  <si>
    <t>Achieved  %</t>
  </si>
  <si>
    <t>Total CN #</t>
  </si>
  <si>
    <t>LE0060916785</t>
  </si>
  <si>
    <t>LE0060939899</t>
  </si>
  <si>
    <t>SA7514081718</t>
  </si>
  <si>
    <t>KI7508986817</t>
  </si>
  <si>
    <t>FS7512394888</t>
  </si>
  <si>
    <t>KI7508984752</t>
  </si>
  <si>
    <t>LE9012084988</t>
  </si>
  <si>
    <t>KI7500331885</t>
  </si>
  <si>
    <t>KI7509012218</t>
  </si>
  <si>
    <t>KI7508978400</t>
  </si>
  <si>
    <t>BK9011941207</t>
  </si>
  <si>
    <t>JG7503727283</t>
  </si>
  <si>
    <t>RW7515004669</t>
  </si>
  <si>
    <t>RW0060919726</t>
  </si>
  <si>
    <t>LE7510164773</t>
  </si>
  <si>
    <t>ID7512549805</t>
  </si>
  <si>
    <t>LE7510177173</t>
  </si>
  <si>
    <t>KI7509008544</t>
  </si>
  <si>
    <t>AT7504327471</t>
  </si>
  <si>
    <t>FS7512220240</t>
  </si>
  <si>
    <t>SA7514081335</t>
  </si>
  <si>
    <t>ID7512550694</t>
  </si>
  <si>
    <t>ID7512550566</t>
  </si>
  <si>
    <t>LE7510150675</t>
  </si>
  <si>
    <t>LE7510145601</t>
  </si>
  <si>
    <t>LE7510173491</t>
  </si>
  <si>
    <t>LE7510194061</t>
  </si>
  <si>
    <t>LE7510204868</t>
  </si>
  <si>
    <t>LE7510191969</t>
  </si>
  <si>
    <t>RW7515006235</t>
  </si>
  <si>
    <t>LE7510195006</t>
  </si>
  <si>
    <t>BA7507943610</t>
  </si>
  <si>
    <t>LE7510184088</t>
  </si>
  <si>
    <t>BA7507944140</t>
  </si>
  <si>
    <t>MC7503292932</t>
  </si>
  <si>
    <t>LE7510173360</t>
  </si>
  <si>
    <t>KI0069912320</t>
  </si>
  <si>
    <t>KA7513713285</t>
  </si>
  <si>
    <t>RW0060936669</t>
  </si>
  <si>
    <t>SA7514082138</t>
  </si>
  <si>
    <t>LE7510158471</t>
  </si>
  <si>
    <t>MX7512766942</t>
  </si>
  <si>
    <t>KI7508999383</t>
  </si>
  <si>
    <t>KI7508989095</t>
  </si>
  <si>
    <t>ID7512550714</t>
  </si>
  <si>
    <t>LE7510144985</t>
  </si>
  <si>
    <t>LE7510175533</t>
  </si>
  <si>
    <t>AT7504327556</t>
  </si>
  <si>
    <t>LE7510180926</t>
  </si>
  <si>
    <t>KI7508944841</t>
  </si>
  <si>
    <t>FS7512225546</t>
  </si>
  <si>
    <t>ID7512551304</t>
  </si>
  <si>
    <t>LE7510183753</t>
  </si>
  <si>
    <t>SP7515051607</t>
  </si>
  <si>
    <t>ID7512550713</t>
  </si>
  <si>
    <t>FS7512395982</t>
  </si>
  <si>
    <t>SA7514077862</t>
  </si>
  <si>
    <t>BA7507943453</t>
  </si>
  <si>
    <t>SF7504588591</t>
  </si>
  <si>
    <t>MX7512767760</t>
  </si>
  <si>
    <t>LE7510153197</t>
  </si>
  <si>
    <t>KS7514344167</t>
  </si>
  <si>
    <t>ID7512550715</t>
  </si>
  <si>
    <t>KI7508985616</t>
  </si>
  <si>
    <t>KI7508990449</t>
  </si>
  <si>
    <t>LE7510183994</t>
  </si>
  <si>
    <t>ID7512549449</t>
  </si>
  <si>
    <t>DP7504477251</t>
  </si>
  <si>
    <t>KI7508982646</t>
  </si>
  <si>
    <t>ID7512549447</t>
  </si>
  <si>
    <t>AM7513778689</t>
  </si>
  <si>
    <t xml:space="preserve">Total CN % </t>
  </si>
  <si>
    <t>AT7504325853</t>
  </si>
  <si>
    <t>AT7504325959</t>
  </si>
  <si>
    <t>AT7504326174</t>
  </si>
  <si>
    <t>FS7512177967</t>
  </si>
  <si>
    <t>LE7510116780</t>
  </si>
  <si>
    <t>PW7513561172</t>
  </si>
  <si>
    <t>FS7512382491</t>
  </si>
  <si>
    <t>FS7512112104</t>
  </si>
  <si>
    <t>FS7512129742</t>
  </si>
  <si>
    <t>RR7503682244</t>
  </si>
  <si>
    <t>HD9012031077</t>
  </si>
  <si>
    <t>HD7514718857</t>
  </si>
  <si>
    <t>JG7503726896</t>
  </si>
  <si>
    <t>AM7513838478</t>
  </si>
  <si>
    <t>KI9012046625</t>
  </si>
  <si>
    <t>KI7508809143</t>
  </si>
  <si>
    <t>KP7514169602</t>
  </si>
  <si>
    <t>LE0060897475</t>
  </si>
  <si>
    <t>LK0060920862</t>
  </si>
  <si>
    <t>ML7507574769</t>
  </si>
  <si>
    <t>ML7507574813</t>
  </si>
  <si>
    <t>MB7503765654</t>
  </si>
  <si>
    <t>ST9011818840</t>
  </si>
  <si>
    <t>ST9011932487</t>
  </si>
  <si>
    <t>ST9011938877</t>
  </si>
  <si>
    <t>ST9011940092</t>
  </si>
  <si>
    <t>CD7503607059</t>
  </si>
  <si>
    <t>QD7514029971</t>
  </si>
  <si>
    <t>RW7514859718</t>
  </si>
  <si>
    <t>SQ9011929857</t>
  </si>
  <si>
    <t>SA7514076947</t>
  </si>
  <si>
    <t>SD7508030509</t>
  </si>
  <si>
    <t>SD7507949915</t>
  </si>
  <si>
    <t>SJ9011929276</t>
  </si>
  <si>
    <t>SL7507527730</t>
  </si>
  <si>
    <t>SI7504129806</t>
  </si>
  <si>
    <t>TM7513952464</t>
  </si>
  <si>
    <t>TK9011927012</t>
  </si>
  <si>
    <t>FS7512213163</t>
  </si>
  <si>
    <t>FS7512218961</t>
  </si>
  <si>
    <t>FS7512186585</t>
  </si>
  <si>
    <t>ID0060790949</t>
  </si>
  <si>
    <t>ID7512550398</t>
  </si>
  <si>
    <t>KI0065320111</t>
  </si>
  <si>
    <t>KI0065330018</t>
  </si>
  <si>
    <t>KI9012074330</t>
  </si>
  <si>
    <t>KI9012075834</t>
  </si>
  <si>
    <t>KI9012087393</t>
  </si>
  <si>
    <t>KI7509012207</t>
  </si>
  <si>
    <t>KI7508983640</t>
  </si>
  <si>
    <t>KI7508990691</t>
  </si>
  <si>
    <t>KI7508987360</t>
  </si>
  <si>
    <t>KI7500332041</t>
  </si>
  <si>
    <t>KN0060745561</t>
  </si>
  <si>
    <t>LE9012077406</t>
  </si>
  <si>
    <t>LE9012082277</t>
  </si>
  <si>
    <t>LE9012083243</t>
  </si>
  <si>
    <t>LE9012084817</t>
  </si>
  <si>
    <t>LE9012085937</t>
  </si>
  <si>
    <t>LE9012090669</t>
  </si>
  <si>
    <t>LE9012090783</t>
  </si>
  <si>
    <t>LE9012091825</t>
  </si>
  <si>
    <t>LE9012094746</t>
  </si>
  <si>
    <t>LE9012083888</t>
  </si>
  <si>
    <t>LE9012089099</t>
  </si>
  <si>
    <t>LE7510181829</t>
  </si>
  <si>
    <t>LE7510187095</t>
  </si>
  <si>
    <t>LE7510192631</t>
  </si>
  <si>
    <t>LE7510199017</t>
  </si>
  <si>
    <t>LE7510147619</t>
  </si>
  <si>
    <t>DA7507836373</t>
  </si>
  <si>
    <t>OK7514472663</t>
  </si>
  <si>
    <t>PW7513564763</t>
  </si>
  <si>
    <t>RW7515006478</t>
  </si>
  <si>
    <t>SA9012067041</t>
  </si>
  <si>
    <t>SA7515162433</t>
  </si>
  <si>
    <t>SL7507531137</t>
  </si>
  <si>
    <t>MN7513093083</t>
  </si>
  <si>
    <t>MN7513093208</t>
  </si>
  <si>
    <t>MN7513093248</t>
  </si>
  <si>
    <t>MN7513093250</t>
  </si>
  <si>
    <t>MN7513092823</t>
  </si>
  <si>
    <t>FS7512187269</t>
  </si>
  <si>
    <t>TK9011937041</t>
  </si>
  <si>
    <t>SD7508030908</t>
  </si>
  <si>
    <t>SD7507949955</t>
  </si>
  <si>
    <t>SD7508030708</t>
  </si>
  <si>
    <t>BK0060184170</t>
  </si>
  <si>
    <t>RN9012058085</t>
  </si>
  <si>
    <t>MG7514816726</t>
  </si>
  <si>
    <t>DG7515150430</t>
  </si>
  <si>
    <t>DG7515150321</t>
  </si>
  <si>
    <t>FS9012085542</t>
  </si>
  <si>
    <t>KI7508988640</t>
  </si>
  <si>
    <t>KI7508984880</t>
  </si>
  <si>
    <t>KI7508935086</t>
  </si>
  <si>
    <t>GW9011923565</t>
  </si>
  <si>
    <t>LE7510153525</t>
  </si>
  <si>
    <t>WC7506798848</t>
  </si>
  <si>
    <t>WC7506798894</t>
  </si>
  <si>
    <t>WC7506798954</t>
  </si>
  <si>
    <t>WC7503533914</t>
  </si>
  <si>
    <t>ID7512547612</t>
  </si>
  <si>
    <t>GW0060921892</t>
  </si>
  <si>
    <t>GW7514772995</t>
  </si>
  <si>
    <t>ID7512549363</t>
  </si>
  <si>
    <t>ID7512550750</t>
  </si>
  <si>
    <t>ID7512550752</t>
  </si>
  <si>
    <t>JG7503727360</t>
  </si>
  <si>
    <t>JM7514163567</t>
  </si>
  <si>
    <t>AM7513779473</t>
  </si>
  <si>
    <t>AM7513779730</t>
  </si>
  <si>
    <t>AM7513779432</t>
  </si>
  <si>
    <t>FS7512210816</t>
  </si>
  <si>
    <t>KI7509009384</t>
  </si>
  <si>
    <t>FS7512198652</t>
  </si>
  <si>
    <t>KI7508928305</t>
  </si>
  <si>
    <t>KI7508962657</t>
  </si>
  <si>
    <t>KI7508980305</t>
  </si>
  <si>
    <t>KI7500329179</t>
  </si>
  <si>
    <t>KI7508989205</t>
  </si>
  <si>
    <t>KI7500329533</t>
  </si>
  <si>
    <t>FS7512201702</t>
  </si>
  <si>
    <t>KI7509006032</t>
  </si>
  <si>
    <t>KI7509006998</t>
  </si>
  <si>
    <t>KI7509011652</t>
  </si>
  <si>
    <t>KI7509013110</t>
  </si>
  <si>
    <t>KI7509013373</t>
  </si>
  <si>
    <t>KI7508904536</t>
  </si>
  <si>
    <t>KI7508990485</t>
  </si>
  <si>
    <t>KI7509001837</t>
  </si>
  <si>
    <t>KI7508993370</t>
  </si>
  <si>
    <t>FS7512223278</t>
  </si>
  <si>
    <t>FS7512221347</t>
  </si>
  <si>
    <t>KI7508971185</t>
  </si>
  <si>
    <t>FS7512207223</t>
  </si>
  <si>
    <t>KI7509013357</t>
  </si>
  <si>
    <t>FS7512217698</t>
  </si>
  <si>
    <t>FS7512395836</t>
  </si>
  <si>
    <t>FS7512395384</t>
  </si>
  <si>
    <t>FS7512394889</t>
  </si>
  <si>
    <t>FS7512200315</t>
  </si>
  <si>
    <t>KS7514343802</t>
  </si>
  <si>
    <t>FS7512153156</t>
  </si>
  <si>
    <t>LE0060940066</t>
  </si>
  <si>
    <t>LE0060940126</t>
  </si>
  <si>
    <t>LE0060940237</t>
  </si>
  <si>
    <t>LE9012080086</t>
  </si>
  <si>
    <t>LE9012080097</t>
  </si>
  <si>
    <t>LE9012080142</t>
  </si>
  <si>
    <t>LE9012080562</t>
  </si>
  <si>
    <t>LE9011940920</t>
  </si>
  <si>
    <t>LE9012093138</t>
  </si>
  <si>
    <t>LE9012093986</t>
  </si>
  <si>
    <t>LE7510185172</t>
  </si>
  <si>
    <t>LE7510158772</t>
  </si>
  <si>
    <t>LE7510181243</t>
  </si>
  <si>
    <t>LE7510185046</t>
  </si>
  <si>
    <t>LE7510187781</t>
  </si>
  <si>
    <t>LE7510189020</t>
  </si>
  <si>
    <t>LE7510193357</t>
  </si>
  <si>
    <t>LE7510194079</t>
  </si>
  <si>
    <t>LE7510198524</t>
  </si>
  <si>
    <t>LE7510187916</t>
  </si>
  <si>
    <t>LE7510190756</t>
  </si>
  <si>
    <t>LE7510194086</t>
  </si>
  <si>
    <t>LE7510203747</t>
  </si>
  <si>
    <t>LE7510178624</t>
  </si>
  <si>
    <t>LE7510172237</t>
  </si>
  <si>
    <t>LE7510174204</t>
  </si>
  <si>
    <t>LE7510184389</t>
  </si>
  <si>
    <t>LE7510189752</t>
  </si>
  <si>
    <t>LE7510196492</t>
  </si>
  <si>
    <t>LE7510196652</t>
  </si>
  <si>
    <t>LE7510203356</t>
  </si>
  <si>
    <t>MM9011809290</t>
  </si>
  <si>
    <t>MM7505091696</t>
  </si>
  <si>
    <t>DP0060945906</t>
  </si>
  <si>
    <t>MX9011940127</t>
  </si>
  <si>
    <t>MX7512770855</t>
  </si>
  <si>
    <t>MX7512766963</t>
  </si>
  <si>
    <t>MX7512769927</t>
  </si>
  <si>
    <t>NW7514321605</t>
  </si>
  <si>
    <t>OK7514369542</t>
  </si>
  <si>
    <t>OK7514369965</t>
  </si>
  <si>
    <t>OK7514370133</t>
  </si>
  <si>
    <t>OK7514473275</t>
  </si>
  <si>
    <t>OK7514475166</t>
  </si>
  <si>
    <t>OK7514473957</t>
  </si>
  <si>
    <t>OK7514474665</t>
  </si>
  <si>
    <t>CH0060762043</t>
  </si>
  <si>
    <t>PW7513565184</t>
  </si>
  <si>
    <t>CC7503198706</t>
  </si>
  <si>
    <t>RW7515004791</t>
  </si>
  <si>
    <t>RW7515005118</t>
  </si>
  <si>
    <t>RW7515007030</t>
  </si>
  <si>
    <t>RW7515006740</t>
  </si>
  <si>
    <t>RW7515005387</t>
  </si>
  <si>
    <t>BA7507943403</t>
  </si>
  <si>
    <t>SW7513964683</t>
  </si>
  <si>
    <t>SA7515162728</t>
  </si>
  <si>
    <t>SA7507890415</t>
  </si>
  <si>
    <t>SA7514082605</t>
  </si>
  <si>
    <t>BW9011938102</t>
  </si>
  <si>
    <t>SL7507528907</t>
  </si>
  <si>
    <t>WC7506797390</t>
  </si>
  <si>
    <t>LE7510196326</t>
  </si>
  <si>
    <t>AT7504327095</t>
  </si>
  <si>
    <t>AT7504326832</t>
  </si>
  <si>
    <t>AT7504326731</t>
  </si>
  <si>
    <t>AT7504326993</t>
  </si>
  <si>
    <t>AT7504326848</t>
  </si>
  <si>
    <t>AT7504327119</t>
  </si>
  <si>
    <t>AT7504326997</t>
  </si>
  <si>
    <t>AT7504326909</t>
  </si>
  <si>
    <t>AT7504326892</t>
  </si>
  <si>
    <t>AT7504326891</t>
  </si>
  <si>
    <t>AT7504326810</t>
  </si>
  <si>
    <t>AT7504326505</t>
  </si>
  <si>
    <t>AT7504327098</t>
  </si>
  <si>
    <t>AT7504326579</t>
  </si>
  <si>
    <t>AT7504326610</t>
  </si>
  <si>
    <t>AT7504327042</t>
  </si>
  <si>
    <t>AT7504326969</t>
  </si>
  <si>
    <t>AT7504326701</t>
  </si>
  <si>
    <t>AT7504327073</t>
  </si>
  <si>
    <t>AT7504327453</t>
  </si>
  <si>
    <t>AT7504326603</t>
  </si>
  <si>
    <t>KI7509773706</t>
  </si>
  <si>
    <t>BA7507937017</t>
  </si>
  <si>
    <t>KI7509119373</t>
  </si>
  <si>
    <t>KI7509118874</t>
  </si>
  <si>
    <t xml:space="preserve">Ehtisham </t>
  </si>
  <si>
    <t>Muhammad Arif</t>
  </si>
  <si>
    <t xml:space="preserve">Atif Mehmood </t>
  </si>
  <si>
    <t xml:space="preserve">Muhammad Aftab </t>
  </si>
  <si>
    <t xml:space="preserve">Danish Ali </t>
  </si>
  <si>
    <t xml:space="preserve">Ilyas </t>
  </si>
  <si>
    <t xml:space="preserve">Shahzaib </t>
  </si>
  <si>
    <t xml:space="preserve">Waqar </t>
  </si>
  <si>
    <t>Israr</t>
  </si>
  <si>
    <t xml:space="preserve">Zain ali </t>
  </si>
  <si>
    <t>zeeshan 42506</t>
  </si>
  <si>
    <t>Region</t>
  </si>
  <si>
    <t>Zone</t>
  </si>
  <si>
    <t>City</t>
  </si>
  <si>
    <t>Emp _No</t>
  </si>
  <si>
    <t>Designation</t>
  </si>
  <si>
    <t>Department</t>
  </si>
  <si>
    <t>North</t>
  </si>
  <si>
    <t>Islamabad – Zone 8</t>
  </si>
  <si>
    <t>ATTOCK</t>
  </si>
  <si>
    <t>Leopard</t>
  </si>
  <si>
    <t xml:space="preserve">operation </t>
  </si>
  <si>
    <t>Arsalan Mehmood</t>
  </si>
  <si>
    <t>37101-5612073-5</t>
  </si>
  <si>
    <t>Adnan Masih</t>
  </si>
  <si>
    <t>37101-5819756-3</t>
  </si>
  <si>
    <t>Usman Shiekh</t>
  </si>
  <si>
    <t>37101-5196223-9</t>
  </si>
  <si>
    <t>38301-2498982-1</t>
  </si>
  <si>
    <t xml:space="preserve">Phone Number </t>
  </si>
  <si>
    <t>FS7512434821</t>
  </si>
  <si>
    <t>FS7512434820</t>
  </si>
  <si>
    <t xml:space="preserve">Done </t>
  </si>
  <si>
    <t xml:space="preserve">Sammar  </t>
  </si>
  <si>
    <t>Muhammad Junaid</t>
  </si>
  <si>
    <t>Aqib</t>
  </si>
  <si>
    <t>FS7508073668</t>
  </si>
  <si>
    <t>FS7508117918</t>
  </si>
  <si>
    <t>FS7508117902</t>
  </si>
  <si>
    <t xml:space="preserve">Sajjad </t>
  </si>
  <si>
    <t xml:space="preserve">Akhtar </t>
  </si>
  <si>
    <t>Arsalan  42518</t>
  </si>
  <si>
    <t>zeeshan 38824</t>
  </si>
  <si>
    <t xml:space="preserve">Count of CN </t>
  </si>
  <si>
    <t>Grand Total</t>
  </si>
  <si>
    <t>Adnan Mashi</t>
  </si>
  <si>
    <t>Usman 8828</t>
  </si>
  <si>
    <t>Mubashir  GC</t>
  </si>
  <si>
    <t xml:space="preserve">Actual Day Count </t>
  </si>
  <si>
    <t xml:space="preserve">Total Amount </t>
  </si>
  <si>
    <t>Adeel 38757</t>
  </si>
  <si>
    <t>Arsalan 32817</t>
  </si>
  <si>
    <t xml:space="preserve"> Extra  Day count </t>
  </si>
  <si>
    <t xml:space="preserve">Basic </t>
  </si>
  <si>
    <t>Day's</t>
  </si>
  <si>
    <t>Per day AMT</t>
  </si>
  <si>
    <t>Total Amount Day's</t>
  </si>
  <si>
    <t>Fuel liter's</t>
  </si>
  <si>
    <t>Per Liter AMT</t>
  </si>
  <si>
    <t xml:space="preserve">T -F- Amount </t>
  </si>
  <si>
    <t>A F D AMT</t>
  </si>
  <si>
    <t xml:space="preserve">Muhammad Sherdil </t>
  </si>
  <si>
    <t>Faiq.48901</t>
  </si>
  <si>
    <t>faiq@123</t>
  </si>
  <si>
    <t>f</t>
  </si>
  <si>
    <t>FAISALABAD FACTORY HUB</t>
  </si>
  <si>
    <t>Inam.27169</t>
  </si>
  <si>
    <t>inam@123</t>
  </si>
  <si>
    <t>shujat.46805</t>
  </si>
  <si>
    <t>shujat@123</t>
  </si>
  <si>
    <t>ki7515989470</t>
  </si>
  <si>
    <t>ki7515988897</t>
  </si>
  <si>
    <t>mwi</t>
  </si>
  <si>
    <t>mwi@123</t>
  </si>
  <si>
    <t>Mianwali</t>
  </si>
  <si>
    <t>EMP CODE</t>
  </si>
  <si>
    <t xml:space="preserve">Rehan ali </t>
  </si>
  <si>
    <t>37101-8628281-1</t>
  </si>
  <si>
    <t>31-11-2025</t>
  </si>
  <si>
    <t>KI7518058427</t>
  </si>
  <si>
    <t>KI7518058424</t>
  </si>
  <si>
    <t>KI7518100880</t>
  </si>
  <si>
    <t>Sunday</t>
  </si>
  <si>
    <t xml:space="preserve">Ayaz hussain shah </t>
  </si>
  <si>
    <t>mobile phone liya hai ....!</t>
  </si>
  <si>
    <t xml:space="preserve">Arsalan shah | redmi A5 </t>
  </si>
  <si>
    <t>KI7523362204</t>
  </si>
  <si>
    <t>KI7523364050</t>
  </si>
  <si>
    <t>Usman  | Oppo F11</t>
  </si>
  <si>
    <t>051-182452-810</t>
  </si>
  <si>
    <t>Muhammad SherDil</t>
  </si>
  <si>
    <t>37102-1243707-7</t>
  </si>
  <si>
    <t xml:space="preserve">Total In hand cash </t>
  </si>
  <si>
    <t>ki7523840733</t>
  </si>
  <si>
    <t>ki7523830694</t>
  </si>
  <si>
    <t>ki7523830690</t>
  </si>
  <si>
    <t xml:space="preserve">Received </t>
  </si>
  <si>
    <t>Misplace</t>
  </si>
  <si>
    <t>usama waheed</t>
  </si>
  <si>
    <t>37101-2031830-7</t>
  </si>
  <si>
    <t>37106-0121223-1</t>
  </si>
  <si>
    <t>Naqeeb ali shah</t>
  </si>
  <si>
    <t>SR.No</t>
  </si>
  <si>
    <t>KI7526673194</t>
  </si>
  <si>
    <t>KI7526713803</t>
  </si>
  <si>
    <t>KI7526659055</t>
  </si>
  <si>
    <t>KI7525258960</t>
  </si>
  <si>
    <t>rtn</t>
  </si>
  <si>
    <t>Closed</t>
  </si>
  <si>
    <t>In-P</t>
  </si>
  <si>
    <t xml:space="preserve">Deduction </t>
  </si>
  <si>
    <t>KI7526180912</t>
  </si>
  <si>
    <t>FW</t>
  </si>
  <si>
    <t>Payable -</t>
  </si>
  <si>
    <t xml:space="preserve">usama waheed </t>
  </si>
  <si>
    <t>bilal</t>
  </si>
  <si>
    <t>KI7530049096</t>
  </si>
  <si>
    <t>KI7529977874</t>
  </si>
  <si>
    <t>KI7530050270</t>
  </si>
  <si>
    <t>CN '</t>
  </si>
  <si>
    <t>Short</t>
  </si>
  <si>
    <t>Sr.NO</t>
  </si>
  <si>
    <t>Concat</t>
  </si>
  <si>
    <t>Delivered</t>
  </si>
  <si>
    <t>Usman sheikh</t>
  </si>
  <si>
    <t>bilal sheikh</t>
  </si>
  <si>
    <t>adnan mashi</t>
  </si>
  <si>
    <t>zain ali</t>
  </si>
  <si>
    <t xml:space="preserve">ehtisham ali </t>
  </si>
  <si>
    <t xml:space="preserve">muhammad umer </t>
  </si>
  <si>
    <t xml:space="preserve">ilyas ahmed </t>
  </si>
  <si>
    <t xml:space="preserve">zain ali faizan </t>
  </si>
  <si>
    <t>zeeshan ali shah</t>
  </si>
  <si>
    <t xml:space="preserve">sajjad ahmed </t>
  </si>
  <si>
    <t>abdul basit</t>
  </si>
  <si>
    <t xml:space="preserve">sharjeel ahmed </t>
  </si>
  <si>
    <t xml:space="preserve">shawaiz ali </t>
  </si>
  <si>
    <t xml:space="preserve">danish ali </t>
  </si>
  <si>
    <t xml:space="preserve">mubashir ali </t>
  </si>
  <si>
    <t xml:space="preserve">muhammad bilal </t>
  </si>
  <si>
    <t xml:space="preserve">israr ahmed </t>
  </si>
  <si>
    <t>ayaz hussain shah</t>
  </si>
  <si>
    <t xml:space="preserve">aftab ahmed </t>
  </si>
  <si>
    <t xml:space="preserve">muhammad shoaib </t>
  </si>
  <si>
    <t xml:space="preserve">sherdil </t>
  </si>
  <si>
    <t xml:space="preserve">shahzaib ali </t>
  </si>
  <si>
    <t xml:space="preserve">arsalan ali </t>
  </si>
  <si>
    <t xml:space="preserve">asralan mehmood </t>
  </si>
  <si>
    <t xml:space="preserve">naqeeb ali shah </t>
  </si>
  <si>
    <t xml:space="preserve">adeel ahmed </t>
  </si>
  <si>
    <t>muhammad mubashir</t>
  </si>
  <si>
    <t xml:space="preserve">huzaifa sahkwat </t>
  </si>
  <si>
    <t xml:space="preserve">rehan ali </t>
  </si>
  <si>
    <t xml:space="preserve">saeed ahmed </t>
  </si>
  <si>
    <t xml:space="preserve">Miss kainat </t>
  </si>
  <si>
    <t xml:space="preserve">miss ayesha </t>
  </si>
  <si>
    <t>zain ali shah</t>
  </si>
  <si>
    <t xml:space="preserve">faheem ahmed </t>
  </si>
  <si>
    <t xml:space="preserve">sajid mehmood </t>
  </si>
  <si>
    <t xml:space="preserve">amir adnan </t>
  </si>
  <si>
    <t xml:space="preserve">abu bakkar </t>
  </si>
  <si>
    <t xml:space="preserve">usman mani </t>
  </si>
  <si>
    <t>night staff one</t>
  </si>
  <si>
    <t xml:space="preserve">night staff two </t>
  </si>
  <si>
    <t xml:space="preserve">muhammad haris </t>
  </si>
  <si>
    <t xml:space="preserve">Majid mehmood </t>
  </si>
  <si>
    <t xml:space="preserve">aqib younis </t>
  </si>
  <si>
    <t xml:space="preserve">leopard </t>
  </si>
  <si>
    <t>office staff</t>
  </si>
  <si>
    <t xml:space="preserve">driver </t>
  </si>
  <si>
    <t>retail staff</t>
  </si>
  <si>
    <t>night staff</t>
  </si>
  <si>
    <t>LHE staff</t>
  </si>
  <si>
    <t xml:space="preserve">RTN Received </t>
  </si>
  <si>
    <t>LE7530180764</t>
  </si>
  <si>
    <t>LE7530193063</t>
  </si>
  <si>
    <t>LE7530158749</t>
  </si>
  <si>
    <t>RN7525841888</t>
  </si>
  <si>
    <t>KI7531446607</t>
  </si>
  <si>
    <t>KI7531447806</t>
  </si>
  <si>
    <t>adnan</t>
  </si>
  <si>
    <t>KI7531336617</t>
  </si>
  <si>
    <t>LE7530171284</t>
  </si>
  <si>
    <t>MV7504027345</t>
  </si>
  <si>
    <t>ID7530623072</t>
  </si>
  <si>
    <t>JG7525712412</t>
  </si>
  <si>
    <t>LE7530177702</t>
  </si>
  <si>
    <t>LE7530177694</t>
  </si>
  <si>
    <t>LE7530176932</t>
  </si>
  <si>
    <t>LE7530186623</t>
  </si>
  <si>
    <t>KI7516413193</t>
  </si>
  <si>
    <t>SA7525917589</t>
  </si>
  <si>
    <t xml:space="preserve">zain </t>
  </si>
  <si>
    <t>LE7530197382</t>
  </si>
  <si>
    <t>SH7513693864</t>
  </si>
  <si>
    <t>ehtisham</t>
  </si>
  <si>
    <t>LE7530192442</t>
  </si>
  <si>
    <t>LE7530122396</t>
  </si>
  <si>
    <t>KI7531386005</t>
  </si>
  <si>
    <t>KI7531407351</t>
  </si>
  <si>
    <t>LE7530186659</t>
  </si>
  <si>
    <t>LE7530197374</t>
  </si>
  <si>
    <t>BA7531568936</t>
  </si>
  <si>
    <t>LE7530185195</t>
  </si>
  <si>
    <t>LE7530192983</t>
  </si>
  <si>
    <t>PW7528750889</t>
  </si>
  <si>
    <t>RN7525841922</t>
  </si>
  <si>
    <t>LE7530177703</t>
  </si>
  <si>
    <t>SA7525920027</t>
  </si>
  <si>
    <t>MG7515590708</t>
  </si>
  <si>
    <t>KI7531442186</t>
  </si>
  <si>
    <t xml:space="preserve">zain faizan </t>
  </si>
  <si>
    <t>KI7528969569</t>
  </si>
  <si>
    <t>FS7528418490</t>
  </si>
  <si>
    <t>FS7528332116</t>
  </si>
  <si>
    <t>RN7525841523</t>
  </si>
  <si>
    <t>BR7527686230</t>
  </si>
  <si>
    <t>KI7531391474</t>
  </si>
  <si>
    <t>BR7527685090</t>
  </si>
  <si>
    <t>ilyas</t>
  </si>
  <si>
    <t>LE7530555635</t>
  </si>
  <si>
    <t>KI7531430877</t>
  </si>
  <si>
    <t>LE7530186665</t>
  </si>
  <si>
    <t>LE0061280580</t>
  </si>
  <si>
    <t>LE7530189700</t>
  </si>
  <si>
    <t>LE7530192812</t>
  </si>
  <si>
    <t xml:space="preserve">usman </t>
  </si>
  <si>
    <t>LE7530186025</t>
  </si>
  <si>
    <t>(blank)</t>
  </si>
  <si>
    <t>KI7531312006</t>
  </si>
  <si>
    <t>FS7527803903</t>
  </si>
  <si>
    <t>FS7527816250</t>
  </si>
  <si>
    <t>FS7527849197</t>
  </si>
  <si>
    <t>FS7527852417</t>
  </si>
  <si>
    <t>ID0061332554</t>
  </si>
  <si>
    <t>ID7530642725</t>
  </si>
  <si>
    <t>ID7530642734</t>
  </si>
  <si>
    <t>ID7530642859</t>
  </si>
  <si>
    <t>ID7530642870</t>
  </si>
  <si>
    <t>ID7530643025</t>
  </si>
  <si>
    <t>ID7530645340</t>
  </si>
  <si>
    <t>JR7531018002</t>
  </si>
  <si>
    <t>KI0065397997</t>
  </si>
  <si>
    <t>KI7529010269</t>
  </si>
  <si>
    <t>KI7529068123</t>
  </si>
  <si>
    <t>KI7529073348</t>
  </si>
  <si>
    <t>KI7529073852</t>
  </si>
  <si>
    <t>KI7529088859</t>
  </si>
  <si>
    <t>KI7529090346</t>
  </si>
  <si>
    <t>KI7529093265</t>
  </si>
  <si>
    <t>KI7529094212</t>
  </si>
  <si>
    <t>KI7529095531</t>
  </si>
  <si>
    <t>KI7529110690</t>
  </si>
  <si>
    <t>KI7529113021</t>
  </si>
  <si>
    <t>KI7529117926</t>
  </si>
  <si>
    <t>KI7529124404</t>
  </si>
  <si>
    <t>KI7529129886</t>
  </si>
  <si>
    <t>KI7529130517</t>
  </si>
  <si>
    <t>KI7529131244</t>
  </si>
  <si>
    <t>KI7529138696</t>
  </si>
  <si>
    <t>KI7529143041</t>
  </si>
  <si>
    <t>KI7529147745</t>
  </si>
  <si>
    <t>KI7529151897</t>
  </si>
  <si>
    <t>KI7529151960</t>
  </si>
  <si>
    <t>KI7529152113</t>
  </si>
  <si>
    <t>KI7529153100</t>
  </si>
  <si>
    <t>KI7529155903</t>
  </si>
  <si>
    <t>KI7529167031</t>
  </si>
  <si>
    <t>KI7529173267</t>
  </si>
  <si>
    <t>KI7529175985</t>
  </si>
  <si>
    <t>KI7529178068</t>
  </si>
  <si>
    <t>KI7529179190</t>
  </si>
  <si>
    <t>KI7529179213</t>
  </si>
  <si>
    <t>KI7529186741</t>
  </si>
  <si>
    <t>KI7529191892</t>
  </si>
  <si>
    <t>KI7529206290</t>
  </si>
  <si>
    <t>KI7529206700</t>
  </si>
  <si>
    <t>KI7529229133</t>
  </si>
  <si>
    <t>KI7531485828</t>
  </si>
  <si>
    <t>KI7531501519</t>
  </si>
  <si>
    <t>KI7531525523</t>
  </si>
  <si>
    <t>KI7531528057</t>
  </si>
  <si>
    <t>KI7531535976</t>
  </si>
  <si>
    <t>KI7531542088</t>
  </si>
  <si>
    <t>KI7531542201</t>
  </si>
  <si>
    <t>LE0060258060</t>
  </si>
  <si>
    <t>LE0061285930</t>
  </si>
  <si>
    <t>LE7530206939</t>
  </si>
  <si>
    <t>LE7530218130</t>
  </si>
  <si>
    <t>LE7530221924</t>
  </si>
  <si>
    <t>LE7530246480</t>
  </si>
  <si>
    <t>LE7530247939</t>
  </si>
  <si>
    <t>LE7530248260</t>
  </si>
  <si>
    <t>LE7530252337</t>
  </si>
  <si>
    <t>LE7530259765</t>
  </si>
  <si>
    <t>LE7530263642</t>
  </si>
  <si>
    <t>LE7530269255</t>
  </si>
  <si>
    <t>LE7530270190</t>
  </si>
  <si>
    <t>LE7530285524</t>
  </si>
  <si>
    <t>LE7530291494</t>
  </si>
  <si>
    <t>LE7530297044</t>
  </si>
  <si>
    <t>LE7530297614</t>
  </si>
  <si>
    <t>LE9014256380</t>
  </si>
  <si>
    <t>MC7521551611</t>
  </si>
  <si>
    <t>MM9014264747</t>
  </si>
  <si>
    <t>MM9014264814</t>
  </si>
  <si>
    <t>OK7514540921</t>
  </si>
  <si>
    <t>PW7528755823</t>
  </si>
  <si>
    <t>SH7513694450</t>
  </si>
  <si>
    <t>SM7515321754</t>
  </si>
  <si>
    <t>WZ7530929360</t>
  </si>
  <si>
    <t>FS7528460236</t>
  </si>
  <si>
    <t>KI7523761826</t>
  </si>
  <si>
    <t>LE7523165458</t>
  </si>
  <si>
    <t>MX7525643799</t>
  </si>
  <si>
    <t>PW7513492621</t>
  </si>
  <si>
    <t>SA7525886894</t>
  </si>
  <si>
    <t>SP7515098826</t>
  </si>
  <si>
    <t>ST7504424743</t>
  </si>
  <si>
    <t>FS7527819717</t>
  </si>
  <si>
    <t>FS7531641356</t>
  </si>
  <si>
    <t>SL0061129741</t>
  </si>
  <si>
    <t>LE7530248175</t>
  </si>
  <si>
    <t>ID7530649712</t>
  </si>
  <si>
    <t>PW7528756349</t>
  </si>
  <si>
    <t>SQ9014264047</t>
  </si>
  <si>
    <t>MM7515549272</t>
  </si>
  <si>
    <t>KN9014273799</t>
  </si>
  <si>
    <t>GW9014264209</t>
  </si>
  <si>
    <t>LE7530298131</t>
  </si>
  <si>
    <t>FS7527855977</t>
  </si>
  <si>
    <t>LE7530360661</t>
  </si>
  <si>
    <t>KI7529146689</t>
  </si>
  <si>
    <t>SA7525935058</t>
  </si>
  <si>
    <t>LE0061201970</t>
  </si>
  <si>
    <t>SA7525935859</t>
  </si>
  <si>
    <t>AM7530963968</t>
  </si>
  <si>
    <t>ID0061019585</t>
  </si>
  <si>
    <t>JM7531185411</t>
  </si>
  <si>
    <t>KI7529321709</t>
  </si>
  <si>
    <t>ID0061019593</t>
  </si>
  <si>
    <t>FS7527910662</t>
  </si>
  <si>
    <t>KI7529274669</t>
  </si>
  <si>
    <t>FS7527901468</t>
  </si>
  <si>
    <t>KI7529169075</t>
  </si>
  <si>
    <t>FS7527909267</t>
  </si>
  <si>
    <t>SA7525931290</t>
  </si>
  <si>
    <t>FS7527872079</t>
  </si>
  <si>
    <t>MX0061306126</t>
  </si>
  <si>
    <t>FS7531634373</t>
  </si>
  <si>
    <t>FS7527888020</t>
  </si>
  <si>
    <t>LE7530305975</t>
  </si>
  <si>
    <t>MN7513226424</t>
  </si>
  <si>
    <t>PW7528757592</t>
  </si>
  <si>
    <t>KI7529183113</t>
  </si>
  <si>
    <t>LE7530285820</t>
  </si>
  <si>
    <t>FS7527907070</t>
  </si>
  <si>
    <t>MX7531120523</t>
  </si>
  <si>
    <t>OK7514543603</t>
  </si>
  <si>
    <t>SL7530712090</t>
  </si>
  <si>
    <t>PW7531234644</t>
  </si>
  <si>
    <t>MX7531119659</t>
  </si>
  <si>
    <t>JM7531184889</t>
  </si>
  <si>
    <t>KI7529278296</t>
  </si>
  <si>
    <t>SA7525929577</t>
  </si>
  <si>
    <t>ID7530653683</t>
  </si>
  <si>
    <t>KI7529209313</t>
  </si>
  <si>
    <t>SL7524763160</t>
  </si>
  <si>
    <t>NO7531698350</t>
  </si>
  <si>
    <t>FS7527840072</t>
  </si>
  <si>
    <t>In-Process</t>
  </si>
  <si>
    <t>KI7529081486</t>
  </si>
  <si>
    <t xml:space="preserve">Amount </t>
  </si>
  <si>
    <t>ki7529364532</t>
  </si>
  <si>
    <t>le7531973889</t>
  </si>
  <si>
    <t>le7531973869</t>
  </si>
  <si>
    <t>KI7529575601</t>
  </si>
  <si>
    <t>LE7530097789</t>
  </si>
  <si>
    <t>OK7514455408</t>
  </si>
  <si>
    <t>dv</t>
  </si>
  <si>
    <t>ki7529535038</t>
  </si>
  <si>
    <t>ID7524166773</t>
  </si>
  <si>
    <t>FS7511461340</t>
  </si>
  <si>
    <t>MB7515372209</t>
  </si>
  <si>
    <t>LE0061043397</t>
  </si>
  <si>
    <t>BA7515492964</t>
  </si>
  <si>
    <t>con</t>
  </si>
  <si>
    <t>old</t>
  </si>
  <si>
    <t>KI7528934228</t>
  </si>
  <si>
    <t>FS7527264218</t>
  </si>
  <si>
    <t>KI7529846624</t>
  </si>
  <si>
    <t>BA7515505480</t>
  </si>
  <si>
    <t>FS7528330772</t>
  </si>
  <si>
    <t>FS7528248745</t>
  </si>
  <si>
    <t>KI7529093055</t>
  </si>
  <si>
    <t>KI7526384839</t>
  </si>
  <si>
    <t>ar</t>
  </si>
  <si>
    <t>SP7514252751</t>
  </si>
  <si>
    <t>KI7532689151</t>
  </si>
  <si>
    <t>d</t>
  </si>
  <si>
    <t>a</t>
  </si>
  <si>
    <t>SL9011066557</t>
  </si>
  <si>
    <t>cash  received shoaib</t>
  </si>
  <si>
    <t>KI7532748340</t>
  </si>
  <si>
    <t>FS7528216605</t>
  </si>
  <si>
    <t>KI7532767643</t>
  </si>
  <si>
    <t>FS7528147521</t>
  </si>
  <si>
    <t>KI7532790948</t>
  </si>
  <si>
    <t>LE7533788312</t>
  </si>
  <si>
    <t>Master Route:</t>
  </si>
  <si>
    <t xml:space="preserve">Attock City </t>
  </si>
  <si>
    <t>Child Route:</t>
  </si>
  <si>
    <t xml:space="preserve">CN Number </t>
  </si>
  <si>
    <t>FS7533236784</t>
  </si>
  <si>
    <t>ID7533049454</t>
  </si>
  <si>
    <t>RW7532330978</t>
  </si>
  <si>
    <t>MN7513246042</t>
  </si>
  <si>
    <t>fs7531759865</t>
  </si>
  <si>
    <t>KI0069929330</t>
  </si>
  <si>
    <t>rw7532329175</t>
  </si>
  <si>
    <t>FS7533266999</t>
  </si>
  <si>
    <t>RW7532330385</t>
  </si>
  <si>
    <t>KG7504396455</t>
  </si>
  <si>
    <t>JN7530730108</t>
  </si>
  <si>
    <t>FS7533259061</t>
  </si>
  <si>
    <t>RW7532325336</t>
  </si>
  <si>
    <t>FS7533250354</t>
  </si>
  <si>
    <t>LE0061431434</t>
  </si>
  <si>
    <t>FS7533271057</t>
  </si>
  <si>
    <t>LE7533778921</t>
  </si>
  <si>
    <t>HD7530856312</t>
  </si>
  <si>
    <t>NO7531700438</t>
  </si>
  <si>
    <t>FS7533274988</t>
  </si>
  <si>
    <t>CD7531563705</t>
  </si>
  <si>
    <t xml:space="preserve">Saran Ali </t>
  </si>
  <si>
    <t>LE7533788152</t>
  </si>
  <si>
    <t>JM7503992271</t>
  </si>
  <si>
    <t>FS7533255617</t>
  </si>
  <si>
    <t>RW7532327341</t>
  </si>
  <si>
    <t>KI7532860985</t>
  </si>
  <si>
    <t>KI7532833914</t>
  </si>
  <si>
    <t>LE7533791918</t>
  </si>
  <si>
    <t>KI7532860270</t>
  </si>
  <si>
    <t>LE7533734960</t>
  </si>
  <si>
    <t>FS7533229398</t>
  </si>
  <si>
    <t>FS7533244600</t>
  </si>
  <si>
    <t>MX7534222029</t>
  </si>
  <si>
    <t>FS7533257982</t>
  </si>
  <si>
    <t>FS7533266941</t>
  </si>
  <si>
    <t xml:space="preserve">Majid </t>
  </si>
  <si>
    <t xml:space="preserve">Kamra Kalan </t>
  </si>
  <si>
    <t xml:space="preserve">Qutba village </t>
  </si>
  <si>
    <t xml:space="preserve">Brotha village </t>
  </si>
  <si>
    <t>Mansar camp</t>
  </si>
  <si>
    <t>Mariyam Colony</t>
  </si>
  <si>
    <t xml:space="preserve">Farooq-e-azam colony </t>
  </si>
  <si>
    <t>le7533781108</t>
  </si>
  <si>
    <t>ki7532916522</t>
  </si>
  <si>
    <t>ki7532914038</t>
  </si>
  <si>
    <t>ki7532913806</t>
  </si>
  <si>
    <t>ki7532914122</t>
  </si>
  <si>
    <t>ki7532914152</t>
  </si>
  <si>
    <t>ki7532940434</t>
  </si>
  <si>
    <t>not ar</t>
  </si>
  <si>
    <t>jm7503992271</t>
  </si>
  <si>
    <t>mx7534222029</t>
  </si>
  <si>
    <t xml:space="preserve">saran </t>
  </si>
  <si>
    <t>ki7532770152</t>
  </si>
  <si>
    <t>ki7532808954</t>
  </si>
  <si>
    <t>ki7532808963</t>
  </si>
  <si>
    <t>FS7533291496</t>
  </si>
  <si>
    <t>FS7533280337</t>
  </si>
  <si>
    <t>KI7532946549</t>
  </si>
  <si>
    <t>AM7534347779</t>
  </si>
  <si>
    <t>KI7534487283</t>
  </si>
  <si>
    <t>KI7534467724</t>
  </si>
  <si>
    <t>KI7534474621</t>
  </si>
  <si>
    <t>SA7532276019</t>
  </si>
  <si>
    <t>FS7533295913</t>
  </si>
  <si>
    <t>FS7533278242</t>
  </si>
  <si>
    <t>FS7533277487</t>
  </si>
  <si>
    <t>le7533808702</t>
  </si>
  <si>
    <t>LE7533797357</t>
  </si>
  <si>
    <t>FS7533294698</t>
  </si>
  <si>
    <t>LE7533799286</t>
  </si>
  <si>
    <t>Majid</t>
  </si>
  <si>
    <t xml:space="preserve">Ghazi city </t>
  </si>
  <si>
    <t>khalo jamu</t>
  </si>
  <si>
    <t xml:space="preserve">wapda colony </t>
  </si>
  <si>
    <t xml:space="preserve">CMH ghazi </t>
  </si>
  <si>
    <t xml:space="preserve">Terbela cantt </t>
  </si>
  <si>
    <t xml:space="preserve">Hemlet colony </t>
  </si>
  <si>
    <t xml:space="preserve">Sobra city </t>
  </si>
  <si>
    <t>majid</t>
  </si>
  <si>
    <t>KI7532862458</t>
  </si>
  <si>
    <t>not in atk</t>
  </si>
  <si>
    <t>mak</t>
  </si>
  <si>
    <t>FS7528212504</t>
  </si>
  <si>
    <t>atk ar</t>
  </si>
  <si>
    <t>FS7533221892</t>
  </si>
  <si>
    <t xml:space="preserve">Emp -code </t>
  </si>
  <si>
    <t xml:space="preserve">Route code </t>
  </si>
  <si>
    <t>Old Route Code is Inactive</t>
  </si>
  <si>
    <t>LE7533800956</t>
  </si>
  <si>
    <t>FS0061399535</t>
  </si>
  <si>
    <t>zain</t>
  </si>
  <si>
    <t>MN7513245289</t>
  </si>
  <si>
    <t>KI7534471274</t>
  </si>
  <si>
    <t>FS7531763881</t>
  </si>
  <si>
    <t>KI7532816813</t>
  </si>
  <si>
    <t>FS7533273229</t>
  </si>
  <si>
    <t>acc</t>
  </si>
  <si>
    <t>cash</t>
  </si>
  <si>
    <t>SA0061415877</t>
  </si>
  <si>
    <t>usama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</si>
</sst>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000000000"/>
  </numFmts>
  <fonts count="23">
    <font>
      <sz val="11"/>
      <color theme="1"/>
      <name val="Calibri"/>
      <family val="2"/>
      <scheme val="minor"/>
    </font>
    <font>
      <b/>
      <sz val="11"/>
      <color theme="0"/>
      <name val="Calibri"/>
      <family val="2"/>
      <scheme val="minor"/>
    </font>
    <font>
      <sz val="11"/>
      <color theme="0"/>
      <name val="Calibri"/>
      <family val="2"/>
      <scheme val="minor"/>
    </font>
    <font>
      <sz val="11"/>
      <color rgb="FFFFFF00"/>
      <name val="Calibri"/>
      <family val="2"/>
      <scheme val="minor"/>
    </font>
    <font>
      <b/>
      <sz val="11"/>
      <color rgb="FFFFFF00"/>
      <name val="Calibri"/>
      <family val="2"/>
      <scheme val="minor"/>
    </font>
    <font>
      <b/>
      <sz val="18"/>
      <color theme="0"/>
      <name val="Calibri"/>
      <family val="2"/>
      <scheme val="minor"/>
    </font>
    <font>
      <b/>
      <sz val="11"/>
      <color theme="1"/>
      <name val="Calibri"/>
      <family val="2"/>
      <scheme val="minor"/>
    </font>
    <font>
      <b/>
      <sz val="16"/>
      <color rgb="FFFFFF00"/>
      <name val="Calibri"/>
      <family val="2"/>
      <scheme val="minor"/>
    </font>
    <font>
      <b/>
      <sz val="15"/>
      <color rgb="FFFFFF00"/>
      <name val="Calibri"/>
      <family val="2"/>
      <scheme val="minor"/>
    </font>
    <font>
      <sz val="11"/>
      <name val="Calibri"/>
      <family val="2"/>
    </font>
    <font>
      <b/>
      <i/>
      <sz val="12"/>
      <color rgb="FFFFFF00"/>
      <name val="Calibri"/>
      <family val="2"/>
      <scheme val="minor"/>
    </font>
    <font>
      <u/>
      <sz val="11"/>
      <color theme="1"/>
      <name val="Calibri"/>
      <family val="2"/>
      <scheme val="minor"/>
    </font>
    <font>
      <b/>
      <i/>
      <sz val="12"/>
      <color theme="1"/>
      <name val="Calibri"/>
      <family val="2"/>
      <scheme val="minor"/>
    </font>
    <font>
      <b/>
      <sz val="18"/>
      <color theme="8" tint="0.39997558519241921"/>
      <name val="Calibri"/>
      <family val="2"/>
      <scheme val="minor"/>
    </font>
    <font>
      <sz val="11"/>
      <color theme="1"/>
      <name val="Calibri"/>
      <family val="2"/>
      <scheme val="minor"/>
    </font>
    <font>
      <b/>
      <sz val="12"/>
      <color rgb="FF000000"/>
      <name val="Calibri"/>
      <family val="2"/>
    </font>
    <font>
      <sz val="12"/>
      <color rgb="FF000000"/>
      <name val="Calibri"/>
      <family val="2"/>
    </font>
    <font>
      <sz val="10"/>
      <color rgb="FF000000"/>
      <name val="Times New Roman"/>
      <family val="1"/>
    </font>
    <font>
      <sz val="11"/>
      <color theme="1"/>
      <name val="Barcode"/>
    </font>
    <font>
      <b/>
      <sz val="12"/>
      <color indexed="9"/>
      <name val="Calibri"/>
      <family val="2"/>
      <scheme val="minor"/>
    </font>
    <font>
      <b/>
      <sz val="11"/>
      <color indexed="54"/>
      <name val="Calibri"/>
      <family val="2"/>
      <scheme val="minor"/>
    </font>
    <font>
      <sz val="11"/>
      <name val="Calibri"/>
      <family val="2"/>
    </font>
    <font>
      <sz val="11"/>
      <color rgb="FFFF0000"/>
      <name val="Calibri"/>
      <family val="2"/>
      <scheme val="minor"/>
    </font>
  </fonts>
  <fills count="19">
    <fill>
      <patternFill patternType="none"/>
    </fill>
    <fill>
      <patternFill patternType="gray125"/>
    </fill>
    <fill>
      <patternFill patternType="solid">
        <fgColor theme="2" tint="-0.89999084444715716"/>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1"/>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theme="5"/>
        <bgColor indexed="64"/>
      </patternFill>
    </fill>
    <fill>
      <patternFill patternType="solid">
        <fgColor theme="5" tint="0.59999389629810485"/>
        <bgColor indexed="64"/>
      </patternFill>
    </fill>
    <fill>
      <patternFill patternType="solid">
        <fgColor rgb="FF4472C4"/>
        <bgColor indexed="64"/>
      </patternFill>
    </fill>
    <fill>
      <patternFill patternType="solid">
        <fgColor indexed="54"/>
        <bgColor indexed="64"/>
      </patternFill>
    </fill>
    <fill>
      <patternFill patternType="solid">
        <fgColor theme="0" tint="-4.9989318521683403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9" fontId="14" fillId="0" borderId="0" applyFont="0" applyFill="0" applyBorder="0" applyAlignment="0" applyProtection="0"/>
    <xf numFmtId="0" fontId="21" fillId="0" borderId="0"/>
  </cellStyleXfs>
  <cellXfs count="191">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4" fillId="2" borderId="1" xfId="0" applyFont="1" applyFill="1" applyBorder="1" applyAlignment="1">
      <alignment horizontal="center"/>
    </xf>
    <xf numFmtId="0" fontId="1" fillId="3" borderId="1" xfId="0" applyFont="1" applyFill="1" applyBorder="1" applyAlignment="1">
      <alignment horizontal="center"/>
    </xf>
    <xf numFmtId="0" fontId="0" fillId="4" borderId="1" xfId="0" applyFill="1" applyBorder="1" applyAlignment="1">
      <alignment horizontal="center"/>
    </xf>
    <xf numFmtId="0" fontId="2" fillId="5" borderId="0" xfId="0" applyFont="1" applyFill="1" applyAlignment="1">
      <alignment horizontal="center"/>
    </xf>
    <xf numFmtId="0" fontId="3" fillId="6" borderId="0" xfId="0" applyFont="1" applyFill="1"/>
    <xf numFmtId="0" fontId="4" fillId="6" borderId="0" xfId="0" applyFont="1" applyFill="1"/>
    <xf numFmtId="0" fontId="0" fillId="8" borderId="0" xfId="0" applyFill="1"/>
    <xf numFmtId="0" fontId="1" fillId="7" borderId="0" xfId="0" applyFont="1" applyFill="1"/>
    <xf numFmtId="14" fontId="0" fillId="0" borderId="1" xfId="0" applyNumberFormat="1" applyBorder="1"/>
    <xf numFmtId="0" fontId="0" fillId="0" borderId="9" xfId="0" applyBorder="1"/>
    <xf numFmtId="0" fontId="0" fillId="9" borderId="1" xfId="0" applyFill="1" applyBorder="1"/>
    <xf numFmtId="0" fontId="0" fillId="9" borderId="1" xfId="0" applyFill="1" applyBorder="1" applyAlignment="1">
      <alignment horizontal="center"/>
    </xf>
    <xf numFmtId="0" fontId="6" fillId="9" borderId="1" xfId="0" applyFont="1" applyFill="1" applyBorder="1"/>
    <xf numFmtId="0" fontId="4" fillId="2" borderId="12" xfId="0" applyFont="1" applyFill="1" applyBorder="1" applyAlignment="1">
      <alignment horizontal="center"/>
    </xf>
    <xf numFmtId="0" fontId="1" fillId="3" borderId="13" xfId="0" applyFont="1" applyFill="1" applyBorder="1" applyAlignment="1">
      <alignment horizontal="center"/>
    </xf>
    <xf numFmtId="0" fontId="0" fillId="10" borderId="1" xfId="0" applyFill="1" applyBorder="1"/>
    <xf numFmtId="0" fontId="4" fillId="2" borderId="14" xfId="0" applyFont="1" applyFill="1" applyBorder="1" applyAlignment="1">
      <alignment horizontal="center"/>
    </xf>
    <xf numFmtId="0" fontId="0" fillId="10" borderId="1" xfId="0" applyFill="1" applyBorder="1" applyAlignment="1">
      <alignment horizontal="center"/>
    </xf>
    <xf numFmtId="0" fontId="0" fillId="10" borderId="0" xfId="0" applyFill="1"/>
    <xf numFmtId="15" fontId="0" fillId="0" borderId="0" xfId="0" applyNumberFormat="1" applyAlignment="1">
      <alignment horizontal="center"/>
    </xf>
    <xf numFmtId="0" fontId="9" fillId="0" borderId="0" xfId="0" applyFont="1"/>
    <xf numFmtId="0" fontId="0" fillId="11" borderId="1" xfId="0" applyFill="1" applyBorder="1"/>
    <xf numFmtId="0" fontId="0" fillId="11" borderId="0" xfId="0" applyFill="1"/>
    <xf numFmtId="0" fontId="10" fillId="6" borderId="15" xfId="0" applyFont="1" applyFill="1" applyBorder="1" applyAlignment="1">
      <alignment horizontal="center"/>
    </xf>
    <xf numFmtId="0" fontId="0" fillId="12" borderId="15" xfId="0" applyFill="1" applyBorder="1" applyAlignment="1">
      <alignment horizontal="center"/>
    </xf>
    <xf numFmtId="0" fontId="0" fillId="0" borderId="4" xfId="0" applyBorder="1"/>
    <xf numFmtId="0" fontId="0" fillId="0" borderId="6" xfId="0" applyBorder="1"/>
    <xf numFmtId="0" fontId="0" fillId="0" borderId="17" xfId="0" applyBorder="1"/>
    <xf numFmtId="0" fontId="0" fillId="0" borderId="19" xfId="0" applyBorder="1"/>
    <xf numFmtId="0" fontId="0" fillId="0" borderId="20" xfId="0" applyBorder="1"/>
    <xf numFmtId="0" fontId="13" fillId="0" borderId="0" xfId="0" applyFont="1" applyAlignment="1">
      <alignment vertical="center"/>
    </xf>
    <xf numFmtId="0" fontId="1" fillId="13" borderId="0" xfId="0" applyFont="1" applyFill="1" applyAlignment="1">
      <alignment horizontal="center"/>
    </xf>
    <xf numFmtId="0" fontId="11" fillId="0" borderId="0" xfId="0" applyFont="1"/>
    <xf numFmtId="0" fontId="12" fillId="0" borderId="17" xfId="0" applyFont="1" applyBorder="1"/>
    <xf numFmtId="0" fontId="0" fillId="10" borderId="2" xfId="0" applyFill="1" applyBorder="1"/>
    <xf numFmtId="0" fontId="0" fillId="10" borderId="16" xfId="0" applyFill="1" applyBorder="1"/>
    <xf numFmtId="0" fontId="0" fillId="10" borderId="4" xfId="0" applyFill="1" applyBorder="1"/>
    <xf numFmtId="0" fontId="0" fillId="10" borderId="5" xfId="0" applyFill="1" applyBorder="1"/>
    <xf numFmtId="0" fontId="0" fillId="10" borderId="19" xfId="0" applyFill="1" applyBorder="1"/>
    <xf numFmtId="0" fontId="6" fillId="10" borderId="0" xfId="0" applyFont="1" applyFill="1"/>
    <xf numFmtId="14" fontId="0" fillId="10" borderId="5" xfId="0" quotePrefix="1" applyNumberFormat="1" applyFill="1" applyBorder="1"/>
    <xf numFmtId="0" fontId="0" fillId="10" borderId="0" xfId="0" quotePrefix="1" applyFill="1"/>
    <xf numFmtId="0" fontId="6" fillId="10" borderId="4" xfId="0" applyFont="1" applyFill="1" applyBorder="1"/>
    <xf numFmtId="165" fontId="6" fillId="10" borderId="4" xfId="0" applyNumberFormat="1" applyFont="1" applyFill="1" applyBorder="1" applyAlignment="1">
      <alignment horizontal="left"/>
    </xf>
    <xf numFmtId="0" fontId="1" fillId="13" borderId="5" xfId="0" applyFont="1" applyFill="1" applyBorder="1" applyAlignment="1">
      <alignment horizontal="center"/>
    </xf>
    <xf numFmtId="0" fontId="0" fillId="9" borderId="1" xfId="0" applyFill="1" applyBorder="1" applyAlignment="1">
      <alignment horizontal="center" vertical="center"/>
    </xf>
    <xf numFmtId="0" fontId="0" fillId="10" borderId="6" xfId="0" applyFill="1" applyBorder="1"/>
    <xf numFmtId="0" fontId="0" fillId="10" borderId="10" xfId="0" applyFill="1" applyBorder="1"/>
    <xf numFmtId="0" fontId="1" fillId="13" borderId="4" xfId="0" applyFont="1" applyFill="1" applyBorder="1" applyAlignment="1">
      <alignment horizontal="center"/>
    </xf>
    <xf numFmtId="0" fontId="0" fillId="10" borderId="3" xfId="0" applyFill="1" applyBorder="1" applyAlignment="1">
      <alignment horizontal="center"/>
    </xf>
    <xf numFmtId="0" fontId="0" fillId="0" borderId="5" xfId="0" applyBorder="1" applyAlignment="1">
      <alignment horizontal="center"/>
    </xf>
    <xf numFmtId="0" fontId="0" fillId="10" borderId="5" xfId="0" applyFill="1" applyBorder="1" applyAlignment="1">
      <alignment horizontal="center"/>
    </xf>
    <xf numFmtId="0" fontId="0" fillId="0" borderId="7" xfId="0" applyBorder="1" applyAlignment="1">
      <alignment horizontal="center"/>
    </xf>
    <xf numFmtId="0" fontId="0" fillId="10" borderId="21" xfId="0" applyFill="1" applyBorder="1" applyAlignment="1">
      <alignment horizontal="center"/>
    </xf>
    <xf numFmtId="0" fontId="11" fillId="0" borderId="21" xfId="0" applyFont="1" applyBorder="1" applyAlignment="1">
      <alignment horizontal="center"/>
    </xf>
    <xf numFmtId="0" fontId="0" fillId="0" borderId="22" xfId="0" applyBorder="1" applyAlignment="1">
      <alignment horizontal="center"/>
    </xf>
    <xf numFmtId="14" fontId="0" fillId="0" borderId="0" xfId="0" applyNumberFormat="1"/>
    <xf numFmtId="15" fontId="0" fillId="0" borderId="0" xfId="0" applyNumberFormat="1"/>
    <xf numFmtId="0" fontId="6" fillId="0" borderId="0" xfId="0" applyFont="1"/>
    <xf numFmtId="0" fontId="6" fillId="0" borderId="11" xfId="0" applyFont="1" applyBorder="1" applyAlignment="1">
      <alignment horizontal="center"/>
    </xf>
    <xf numFmtId="0" fontId="0" fillId="0" borderId="15" xfId="0" applyBorder="1"/>
    <xf numFmtId="15" fontId="0" fillId="0" borderId="15" xfId="0" applyNumberFormat="1" applyBorder="1"/>
    <xf numFmtId="0" fontId="1" fillId="14" borderId="11" xfId="0" applyFont="1" applyFill="1" applyBorder="1" applyAlignment="1">
      <alignment horizontal="center"/>
    </xf>
    <xf numFmtId="0" fontId="0" fillId="0" borderId="25" xfId="0" applyBorder="1"/>
    <xf numFmtId="15" fontId="0" fillId="0" borderId="25" xfId="0" applyNumberFormat="1" applyBorder="1"/>
    <xf numFmtId="0" fontId="0" fillId="0" borderId="24" xfId="0" applyBorder="1"/>
    <xf numFmtId="15" fontId="0" fillId="0" borderId="24" xfId="0" applyNumberFormat="1" applyBorder="1"/>
    <xf numFmtId="0" fontId="6" fillId="0" borderId="15" xfId="0" applyFont="1" applyBorder="1"/>
    <xf numFmtId="10" fontId="6" fillId="0" borderId="11" xfId="0" applyNumberFormat="1" applyFont="1" applyBorder="1" applyAlignment="1">
      <alignment horizontal="center"/>
    </xf>
    <xf numFmtId="0" fontId="1" fillId="14" borderId="11" xfId="0" applyFont="1" applyFill="1" applyBorder="1"/>
    <xf numFmtId="21" fontId="0" fillId="0" borderId="0" xfId="0" applyNumberFormat="1"/>
    <xf numFmtId="0" fontId="1" fillId="14" borderId="10" xfId="0" applyFont="1" applyFill="1" applyBorder="1"/>
    <xf numFmtId="10" fontId="0" fillId="0" borderId="0" xfId="0" applyNumberFormat="1" applyAlignment="1">
      <alignment horizontal="center"/>
    </xf>
    <xf numFmtId="10" fontId="0" fillId="0" borderId="0" xfId="1" applyNumberFormat="1" applyFont="1" applyAlignment="1">
      <alignment horizontal="center"/>
    </xf>
    <xf numFmtId="1" fontId="0" fillId="15" borderId="0" xfId="0" applyNumberFormat="1" applyFill="1" applyAlignment="1">
      <alignment horizontal="center"/>
    </xf>
    <xf numFmtId="0" fontId="1" fillId="14" borderId="8" xfId="0" applyFont="1" applyFill="1" applyBorder="1" applyAlignment="1">
      <alignment horizontal="center"/>
    </xf>
    <xf numFmtId="1" fontId="6" fillId="0" borderId="11" xfId="0" applyNumberFormat="1" applyFont="1" applyBorder="1" applyAlignment="1">
      <alignment horizontal="center"/>
    </xf>
    <xf numFmtId="10" fontId="6" fillId="0" borderId="11" xfId="1" applyNumberFormat="1" applyFont="1" applyBorder="1" applyAlignment="1">
      <alignment horizontal="center"/>
    </xf>
    <xf numFmtId="10" fontId="6" fillId="0" borderId="8" xfId="1" applyNumberFormat="1" applyFont="1" applyBorder="1" applyAlignment="1">
      <alignment horizontal="center"/>
    </xf>
    <xf numFmtId="10" fontId="6" fillId="0" borderId="19" xfId="1" applyNumberFormat="1" applyFont="1" applyBorder="1" applyAlignment="1">
      <alignment horizontal="center"/>
    </xf>
    <xf numFmtId="0" fontId="0" fillId="0" borderId="26" xfId="0" applyBorder="1"/>
    <xf numFmtId="0" fontId="0" fillId="4" borderId="1" xfId="0" applyFill="1" applyBorder="1"/>
    <xf numFmtId="0" fontId="15" fillId="16" borderId="8" xfId="0" applyFont="1" applyFill="1" applyBorder="1" applyAlignment="1">
      <alignment vertical="center"/>
    </xf>
    <xf numFmtId="0" fontId="15" fillId="16" borderId="23" xfId="0" applyFont="1" applyFill="1" applyBorder="1" applyAlignment="1">
      <alignment vertical="center"/>
    </xf>
    <xf numFmtId="0" fontId="16" fillId="0" borderId="20" xfId="0" applyFont="1" applyBorder="1" applyAlignment="1">
      <alignment vertical="center"/>
    </xf>
    <xf numFmtId="0" fontId="16" fillId="0" borderId="7" xfId="0" applyFont="1" applyBorder="1" applyAlignment="1">
      <alignment vertical="center"/>
    </xf>
    <xf numFmtId="0" fontId="17" fillId="0" borderId="7" xfId="0" applyFont="1" applyBorder="1" applyAlignment="1">
      <alignment vertical="center"/>
    </xf>
    <xf numFmtId="0" fontId="17" fillId="0" borderId="7" xfId="0" applyFont="1" applyBorder="1" applyAlignment="1">
      <alignment horizontal="right" vertical="center"/>
    </xf>
    <xf numFmtId="49" fontId="0" fillId="0" borderId="0" xfId="0" applyNumberFormat="1" applyAlignment="1">
      <alignment horizontal="center"/>
    </xf>
    <xf numFmtId="0" fontId="18" fillId="0" borderId="0" xfId="0" applyFont="1"/>
    <xf numFmtId="0" fontId="19" fillId="17" borderId="0" xfId="0" applyFont="1" applyFill="1" applyAlignment="1">
      <alignment horizontal="left"/>
    </xf>
    <xf numFmtId="0" fontId="20" fillId="0" borderId="0" xfId="0" applyFont="1" applyAlignment="1">
      <alignment horizontal="left"/>
    </xf>
    <xf numFmtId="0" fontId="19" fillId="17" borderId="0" xfId="0" applyFont="1" applyFill="1" applyAlignment="1">
      <alignment horizontal="right"/>
    </xf>
    <xf numFmtId="0" fontId="0" fillId="0" borderId="14" xfId="0" applyBorder="1" applyAlignment="1">
      <alignment horizontal="center"/>
    </xf>
    <xf numFmtId="0" fontId="6" fillId="7" borderId="1" xfId="0" applyFont="1" applyFill="1" applyBorder="1"/>
    <xf numFmtId="0" fontId="0" fillId="0" borderId="27" xfId="0" applyBorder="1"/>
    <xf numFmtId="0" fontId="0" fillId="0" borderId="12" xfId="0" applyBorder="1"/>
    <xf numFmtId="1" fontId="0" fillId="0" borderId="0" xfId="0" applyNumberFormat="1"/>
    <xf numFmtId="49" fontId="0" fillId="9" borderId="1" xfId="0" applyNumberFormat="1" applyFill="1" applyBorder="1" applyAlignment="1">
      <alignment horizontal="center"/>
    </xf>
    <xf numFmtId="0" fontId="6" fillId="7" borderId="1" xfId="0" applyFont="1" applyFill="1" applyBorder="1" applyAlignment="1">
      <alignment horizontal="center"/>
    </xf>
    <xf numFmtId="1" fontId="0" fillId="0" borderId="1" xfId="0" applyNumberFormat="1" applyBorder="1" applyAlignment="1">
      <alignment horizontal="center"/>
    </xf>
    <xf numFmtId="15" fontId="0" fillId="0" borderId="1" xfId="0" applyNumberFormat="1" applyBorder="1" applyAlignment="1">
      <alignment horizontal="center"/>
    </xf>
    <xf numFmtId="164" fontId="0" fillId="0" borderId="1" xfId="0" applyNumberFormat="1" applyBorder="1" applyAlignment="1">
      <alignment horizontal="center"/>
    </xf>
    <xf numFmtId="15" fontId="0" fillId="10" borderId="5" xfId="0" applyNumberFormat="1" applyFill="1" applyBorder="1"/>
    <xf numFmtId="15" fontId="0" fillId="10" borderId="18" xfId="0" applyNumberFormat="1" applyFill="1" applyBorder="1"/>
    <xf numFmtId="0" fontId="0" fillId="10" borderId="18" xfId="0" applyFill="1" applyBorder="1"/>
    <xf numFmtId="0" fontId="0" fillId="10" borderId="8" xfId="0" applyFill="1" applyBorder="1"/>
    <xf numFmtId="0" fontId="0" fillId="10" borderId="20" xfId="0" applyFill="1" applyBorder="1"/>
    <xf numFmtId="0" fontId="0" fillId="10" borderId="8" xfId="0" applyFill="1" applyBorder="1" applyAlignment="1">
      <alignment horizontal="center"/>
    </xf>
    <xf numFmtId="0" fontId="6" fillId="11" borderId="0" xfId="0" applyFont="1" applyFill="1"/>
    <xf numFmtId="0" fontId="2" fillId="0" borderId="0" xfId="0" applyFont="1" applyAlignment="1">
      <alignment horizontal="center"/>
    </xf>
    <xf numFmtId="0" fontId="2" fillId="11" borderId="0" xfId="0" applyFont="1" applyFill="1"/>
    <xf numFmtId="0" fontId="17" fillId="0" borderId="17" xfId="0" applyFont="1" applyBorder="1" applyAlignment="1">
      <alignment horizontal="right" vertical="center"/>
    </xf>
    <xf numFmtId="0" fontId="15" fillId="16" borderId="3" xfId="0" applyFont="1" applyFill="1" applyBorder="1" applyAlignment="1">
      <alignment vertical="center"/>
    </xf>
    <xf numFmtId="0" fontId="0" fillId="11" borderId="1" xfId="0" applyFill="1" applyBorder="1" applyAlignment="1">
      <alignment horizontal="center"/>
    </xf>
    <xf numFmtId="15" fontId="0" fillId="11" borderId="1" xfId="0" applyNumberFormat="1" applyFill="1" applyBorder="1" applyAlignment="1">
      <alignment horizontal="center"/>
    </xf>
    <xf numFmtId="164" fontId="0" fillId="11" borderId="1" xfId="0" applyNumberFormat="1" applyFill="1" applyBorder="1" applyAlignment="1">
      <alignment horizontal="center"/>
    </xf>
    <xf numFmtId="14" fontId="0" fillId="11" borderId="1" xfId="0" applyNumberFormat="1" applyFill="1" applyBorder="1"/>
    <xf numFmtId="0" fontId="17" fillId="0" borderId="1" xfId="0" applyFont="1" applyBorder="1" applyAlignment="1">
      <alignment vertical="center"/>
    </xf>
    <xf numFmtId="0" fontId="17" fillId="0" borderId="1" xfId="0" applyFont="1" applyBorder="1" applyAlignment="1">
      <alignment horizontal="right" vertical="center"/>
    </xf>
    <xf numFmtId="0" fontId="15" fillId="14" borderId="1" xfId="0" applyFont="1" applyFill="1" applyBorder="1" applyAlignment="1">
      <alignment vertical="center"/>
    </xf>
    <xf numFmtId="0" fontId="17" fillId="0" borderId="8" xfId="0" applyFont="1" applyBorder="1" applyAlignment="1">
      <alignment vertical="center"/>
    </xf>
    <xf numFmtId="0" fontId="0" fillId="0" borderId="7" xfId="0" applyBorder="1"/>
    <xf numFmtId="0" fontId="0" fillId="10" borderId="13" xfId="0" applyFill="1" applyBorder="1"/>
    <xf numFmtId="0" fontId="0" fillId="4" borderId="9" xfId="0" applyFill="1" applyBorder="1" applyAlignment="1">
      <alignment horizontal="center"/>
    </xf>
    <xf numFmtId="0" fontId="0" fillId="10" borderId="9" xfId="0" applyFill="1" applyBorder="1" applyAlignment="1">
      <alignment horizontal="center"/>
    </xf>
    <xf numFmtId="0" fontId="4" fillId="2" borderId="28" xfId="0" applyFont="1" applyFill="1" applyBorder="1" applyAlignment="1">
      <alignment horizontal="center"/>
    </xf>
    <xf numFmtId="0" fontId="0" fillId="9" borderId="29" xfId="0" applyFill="1" applyBorder="1" applyAlignment="1">
      <alignment horizontal="center"/>
    </xf>
    <xf numFmtId="0" fontId="0" fillId="9" borderId="30" xfId="0" applyFill="1" applyBorder="1" applyAlignment="1">
      <alignment horizontal="center"/>
    </xf>
    <xf numFmtId="0" fontId="0" fillId="9" borderId="31" xfId="0" applyFill="1" applyBorder="1" applyAlignment="1">
      <alignment horizontal="center"/>
    </xf>
    <xf numFmtId="0" fontId="0" fillId="9" borderId="32" xfId="0" applyFill="1" applyBorder="1" applyAlignment="1">
      <alignment horizontal="center"/>
    </xf>
    <xf numFmtId="14" fontId="0" fillId="9" borderId="21" xfId="0" applyNumberFormat="1" applyFill="1" applyBorder="1" applyAlignment="1">
      <alignment horizontal="center"/>
    </xf>
    <xf numFmtId="0" fontId="0" fillId="9" borderId="33" xfId="0" applyFill="1" applyBorder="1" applyAlignment="1">
      <alignment horizontal="center"/>
    </xf>
    <xf numFmtId="0" fontId="0" fillId="9" borderId="28" xfId="0" applyFill="1" applyBorder="1" applyAlignment="1">
      <alignment horizontal="center"/>
    </xf>
    <xf numFmtId="14" fontId="0" fillId="9" borderId="34" xfId="0" applyNumberFormat="1" applyFill="1" applyBorder="1" applyAlignment="1">
      <alignment horizontal="center"/>
    </xf>
    <xf numFmtId="15" fontId="0" fillId="10" borderId="19" xfId="0" applyNumberFormat="1" applyFill="1" applyBorder="1"/>
    <xf numFmtId="14" fontId="0" fillId="0" borderId="19" xfId="0" applyNumberFormat="1" applyBorder="1"/>
    <xf numFmtId="0" fontId="22" fillId="11" borderId="0" xfId="0" applyFont="1" applyFill="1"/>
    <xf numFmtId="0" fontId="20" fillId="0" borderId="0" xfId="0" applyFont="1"/>
    <xf numFmtId="0" fontId="19" fillId="17" borderId="0" xfId="0" applyFont="1" applyFill="1"/>
    <xf numFmtId="49" fontId="0" fillId="0" borderId="0" xfId="0" applyNumberFormat="1"/>
    <xf numFmtId="0" fontId="4" fillId="6" borderId="0" xfId="0" applyFont="1" applyFill="1" applyAlignment="1">
      <alignment horizontal="center"/>
    </xf>
    <xf numFmtId="0" fontId="6" fillId="9" borderId="1" xfId="0" applyFont="1" applyFill="1" applyBorder="1" applyAlignment="1">
      <alignment horizontal="center"/>
    </xf>
    <xf numFmtId="22" fontId="0" fillId="0" borderId="0" xfId="0" applyNumberFormat="1"/>
    <xf numFmtId="22" fontId="0" fillId="11" borderId="0" xfId="0" applyNumberFormat="1" applyFill="1"/>
    <xf numFmtId="1" fontId="0" fillId="11" borderId="1" xfId="0" applyNumberFormat="1" applyFill="1" applyBorder="1"/>
    <xf numFmtId="1" fontId="0" fillId="0" borderId="1" xfId="0" applyNumberFormat="1" applyBorder="1"/>
    <xf numFmtId="22" fontId="0" fillId="0" borderId="1" xfId="0" applyNumberFormat="1" applyBorder="1"/>
    <xf numFmtId="22" fontId="0" fillId="9" borderId="1" xfId="0" applyNumberFormat="1" applyFill="1" applyBorder="1"/>
    <xf numFmtId="1" fontId="0" fillId="0" borderId="0" xfId="0" applyNumberFormat="1" applyAlignment="1">
      <alignment horizontal="center"/>
    </xf>
    <xf numFmtId="0" fontId="6" fillId="0" borderId="0" xfId="0" applyFont="1" applyAlignment="1">
      <alignment horizontal="center"/>
    </xf>
    <xf numFmtId="1" fontId="0" fillId="9" borderId="1" xfId="0" applyNumberFormat="1" applyFill="1" applyBorder="1"/>
    <xf numFmtId="1" fontId="0" fillId="9" borderId="1" xfId="0" applyNumberFormat="1" applyFill="1" applyBorder="1" applyAlignment="1">
      <alignment horizontal="center"/>
    </xf>
    <xf numFmtId="0" fontId="6" fillId="0" borderId="1" xfId="0" applyFont="1" applyBorder="1"/>
    <xf numFmtId="0" fontId="6" fillId="18" borderId="1" xfId="0" applyFont="1" applyFill="1" applyBorder="1"/>
    <xf numFmtId="0" fontId="6" fillId="14" borderId="18" xfId="0" applyFont="1" applyFill="1" applyBorder="1" applyAlignment="1">
      <alignment horizontal="center" vertical="center"/>
    </xf>
    <xf numFmtId="0" fontId="6" fillId="14" borderId="19" xfId="0" applyFont="1" applyFill="1" applyBorder="1" applyAlignment="1">
      <alignment horizontal="center" vertical="center"/>
    </xf>
    <xf numFmtId="0" fontId="6" fillId="14" borderId="20" xfId="0" applyFont="1" applyFill="1" applyBorder="1" applyAlignment="1">
      <alignment horizontal="center" vertical="center"/>
    </xf>
    <xf numFmtId="0" fontId="1" fillId="7" borderId="0" xfId="0" applyFont="1" applyFill="1" applyAlignment="1">
      <alignment horizont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17" xfId="0" applyFont="1" applyFill="1" applyBorder="1" applyAlignment="1">
      <alignment horizontal="center" vertical="center"/>
    </xf>
    <xf numFmtId="0" fontId="0" fillId="0" borderId="0" xfId="0" applyAlignment="1">
      <alignment horizontal="center"/>
    </xf>
    <xf numFmtId="0" fontId="6" fillId="0" borderId="10" xfId="0" applyFont="1" applyBorder="1" applyAlignment="1">
      <alignment horizontal="center"/>
    </xf>
    <xf numFmtId="0" fontId="6" fillId="0" borderId="23" xfId="0" applyFont="1" applyBorder="1" applyAlignment="1">
      <alignment horizontal="center"/>
    </xf>
    <xf numFmtId="0" fontId="0" fillId="9" borderId="1" xfId="0" applyFill="1" applyBorder="1" applyAlignment="1">
      <alignment horizontal="center"/>
    </xf>
    <xf numFmtId="0" fontId="8" fillId="6" borderId="0" xfId="0" applyFont="1" applyFill="1" applyAlignment="1">
      <alignment horizontal="center"/>
    </xf>
    <xf numFmtId="0" fontId="7" fillId="6" borderId="0" xfId="0" applyFont="1" applyFill="1" applyAlignment="1">
      <alignment horizontal="center" vertical="center"/>
    </xf>
    <xf numFmtId="0" fontId="4" fillId="6" borderId="0" xfId="0" applyFont="1" applyFill="1" applyAlignment="1">
      <alignment horizontal="center"/>
    </xf>
    <xf numFmtId="0" fontId="6" fillId="9" borderId="10" xfId="0" applyFont="1" applyFill="1" applyBorder="1" applyAlignment="1">
      <alignment horizontal="center"/>
    </xf>
    <xf numFmtId="0" fontId="6" fillId="9" borderId="11" xfId="0" applyFont="1" applyFill="1" applyBorder="1" applyAlignment="1">
      <alignment horizontal="center"/>
    </xf>
    <xf numFmtId="0" fontId="6" fillId="9" borderId="23" xfId="0" applyFont="1" applyFill="1" applyBorder="1" applyAlignment="1">
      <alignment horizontal="center"/>
    </xf>
    <xf numFmtId="0" fontId="1" fillId="13" borderId="0" xfId="0" applyFont="1" applyFill="1" applyAlignment="1">
      <alignment horizontal="center"/>
    </xf>
    <xf numFmtId="0" fontId="1" fillId="13" borderId="5" xfId="0" applyFont="1" applyFill="1" applyBorder="1" applyAlignment="1">
      <alignment horizontal="center"/>
    </xf>
    <xf numFmtId="0" fontId="1" fillId="13" borderId="17" xfId="0" applyFont="1" applyFill="1" applyBorder="1" applyAlignment="1">
      <alignment horizontal="center"/>
    </xf>
    <xf numFmtId="0" fontId="1" fillId="13" borderId="7" xfId="0" applyFont="1" applyFill="1" applyBorder="1" applyAlignment="1">
      <alignment horizontal="center"/>
    </xf>
    <xf numFmtId="0" fontId="13" fillId="10" borderId="3" xfId="0" applyFont="1" applyFill="1" applyBorder="1" applyAlignment="1">
      <alignment horizontal="center" vertical="center"/>
    </xf>
    <xf numFmtId="0" fontId="13" fillId="10" borderId="5" xfId="0" applyFont="1" applyFill="1" applyBorder="1" applyAlignment="1">
      <alignment horizontal="center" vertical="center"/>
    </xf>
    <xf numFmtId="0" fontId="1" fillId="13" borderId="4" xfId="0" applyFont="1" applyFill="1" applyBorder="1" applyAlignment="1">
      <alignment horizontal="center"/>
    </xf>
    <xf numFmtId="0" fontId="0" fillId="10" borderId="4" xfId="0" applyFill="1" applyBorder="1" applyAlignment="1">
      <alignment horizontal="center"/>
    </xf>
    <xf numFmtId="0" fontId="0" fillId="10" borderId="0" xfId="0" applyFill="1" applyAlignment="1">
      <alignment horizontal="center"/>
    </xf>
    <xf numFmtId="0" fontId="0" fillId="10" borderId="5" xfId="0" applyFill="1" applyBorder="1" applyAlignment="1">
      <alignment horizontal="center"/>
    </xf>
    <xf numFmtId="0" fontId="1" fillId="13" borderId="0" xfId="0" applyFont="1" applyFill="1"/>
  </cellXfs>
  <cellStyles count="3">
    <cellStyle name="Normal" xfId="0" builtinId="0"/>
    <cellStyle name="Normal 2" xfId="2" xr:uid="{122EE39B-FCE5-4884-A71E-9C72F1C963F7}"/>
    <cellStyle name="Percent" xfId="1" builtinId="5"/>
  </cellStyles>
  <dxfs count="8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gradientFill degree="90">
          <stop position="0">
            <color rgb="FF00B050"/>
          </stop>
          <stop position="0.5">
            <color theme="0"/>
          </stop>
          <stop position="1">
            <color rgb="FF00B050"/>
          </stop>
        </gradientFill>
      </fill>
    </dxf>
    <dxf>
      <fill>
        <gradientFill degree="90">
          <stop position="0">
            <color rgb="FF00B0F0"/>
          </stop>
          <stop position="0.5">
            <color theme="0"/>
          </stop>
          <stop position="1">
            <color rgb="FF00B0F0"/>
          </stop>
        </gradientFill>
      </fill>
    </dxf>
    <dxf>
      <fill>
        <gradientFill degree="90">
          <stop position="0">
            <color rgb="FFFFFF00"/>
          </stop>
          <stop position="0.5">
            <color theme="0"/>
          </stop>
          <stop position="1">
            <color rgb="FFFFFF00"/>
          </stop>
        </gradientFill>
      </fill>
    </dxf>
    <dxf>
      <fill>
        <gradientFill degree="90">
          <stop position="0">
            <color rgb="FFFF0000"/>
          </stop>
          <stop position="0.5">
            <color theme="0"/>
          </stop>
          <stop position="1">
            <color rgb="FFFF0000"/>
          </stop>
        </gradient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bottom/>
      </border>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00B0F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9</xdr:col>
      <xdr:colOff>314326</xdr:colOff>
      <xdr:row>0</xdr:row>
      <xdr:rowOff>9525</xdr:rowOff>
    </xdr:from>
    <xdr:to>
      <xdr:col>16</xdr:col>
      <xdr:colOff>51436</xdr:colOff>
      <xdr:row>16</xdr:row>
      <xdr:rowOff>180975</xdr:rowOff>
    </xdr:to>
    <mc:AlternateContent xmlns:mc="http://schemas.openxmlformats.org/markup-compatibility/2006" xmlns:sle15="http://schemas.microsoft.com/office/drawing/2012/slicer">
      <mc:Choice Requires="sle15">
        <xdr:graphicFrame macro="">
          <xdr:nvGraphicFramePr>
            <xdr:cNvPr id="2" name="Courier Name  1">
              <a:extLst>
                <a:ext uri="{FF2B5EF4-FFF2-40B4-BE49-F238E27FC236}">
                  <a16:creationId xmlns:a16="http://schemas.microsoft.com/office/drawing/2014/main" id="{6A6F466D-0187-8DE6-4346-6D695D8B158D}"/>
                </a:ext>
              </a:extLst>
            </xdr:cNvPr>
            <xdr:cNvGraphicFramePr/>
          </xdr:nvGraphicFramePr>
          <xdr:xfrm>
            <a:off x="0" y="0"/>
            <a:ext cx="0" cy="0"/>
          </xdr:xfrm>
          <a:graphic>
            <a:graphicData uri="http://schemas.microsoft.com/office/drawing/2010/slicer">
              <sle:slicer xmlns:sle="http://schemas.microsoft.com/office/drawing/2010/slicer" name="Courier Name  1"/>
            </a:graphicData>
          </a:graphic>
        </xdr:graphicFrame>
      </mc:Choice>
      <mc:Fallback xmlns="">
        <xdr:sp macro="" textlink="">
          <xdr:nvSpPr>
            <xdr:cNvPr id="0" name=""/>
            <xdr:cNvSpPr>
              <a:spLocks noTextEdit="1"/>
            </xdr:cNvSpPr>
          </xdr:nvSpPr>
          <xdr:spPr>
            <a:xfrm>
              <a:off x="7458076" y="9525"/>
              <a:ext cx="4004310" cy="3257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AZ/Downloads/CurrentStatusReport%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B2">
            <v>46130</v>
          </cell>
          <cell r="C2" t="str">
            <v>DS</v>
          </cell>
        </row>
        <row r="3">
          <cell r="B3">
            <v>46130</v>
          </cell>
          <cell r="C3" t="str">
            <v>DS</v>
          </cell>
        </row>
        <row r="4">
          <cell r="B4">
            <v>46130</v>
          </cell>
          <cell r="C4" t="str">
            <v>DS</v>
          </cell>
        </row>
        <row r="5">
          <cell r="B5">
            <v>46130</v>
          </cell>
          <cell r="C5" t="str">
            <v>DS</v>
          </cell>
        </row>
        <row r="6">
          <cell r="B6">
            <v>46130</v>
          </cell>
          <cell r="C6" t="str">
            <v>DS</v>
          </cell>
        </row>
        <row r="7">
          <cell r="B7">
            <v>46130</v>
          </cell>
          <cell r="C7" t="str">
            <v>DS</v>
          </cell>
        </row>
        <row r="8">
          <cell r="B8">
            <v>46130</v>
          </cell>
          <cell r="C8" t="str">
            <v>DS</v>
          </cell>
        </row>
        <row r="9">
          <cell r="B9">
            <v>46132</v>
          </cell>
          <cell r="C9" t="str">
            <v>DS</v>
          </cell>
        </row>
        <row r="10">
          <cell r="B10">
            <v>46132</v>
          </cell>
          <cell r="C10" t="str">
            <v>DS</v>
          </cell>
        </row>
        <row r="11">
          <cell r="B11">
            <v>46132</v>
          </cell>
          <cell r="C11" t="str">
            <v>DS</v>
          </cell>
        </row>
        <row r="12">
          <cell r="B12">
            <v>46132</v>
          </cell>
          <cell r="C12" t="str">
            <v>DS</v>
          </cell>
        </row>
        <row r="13">
          <cell r="B13">
            <v>46132</v>
          </cell>
          <cell r="C13" t="str">
            <v>DS</v>
          </cell>
        </row>
        <row r="14">
          <cell r="B14">
            <v>46132</v>
          </cell>
          <cell r="C14" t="str">
            <v>DS</v>
          </cell>
        </row>
        <row r="15">
          <cell r="B15">
            <v>46132</v>
          </cell>
          <cell r="C15" t="str">
            <v>DS</v>
          </cell>
        </row>
        <row r="16">
          <cell r="B16">
            <v>46132</v>
          </cell>
          <cell r="C16" t="str">
            <v>DS</v>
          </cell>
        </row>
        <row r="17">
          <cell r="B17">
            <v>46132</v>
          </cell>
          <cell r="C17" t="str">
            <v>DS</v>
          </cell>
        </row>
        <row r="18">
          <cell r="B18">
            <v>46133</v>
          </cell>
          <cell r="C18" t="str">
            <v>DS</v>
          </cell>
        </row>
        <row r="19">
          <cell r="B19">
            <v>46133</v>
          </cell>
          <cell r="C19" t="str">
            <v>DS</v>
          </cell>
        </row>
        <row r="20">
          <cell r="B20">
            <v>46133</v>
          </cell>
          <cell r="C20" t="str">
            <v>DS</v>
          </cell>
        </row>
        <row r="21">
          <cell r="B21">
            <v>46133</v>
          </cell>
          <cell r="C21" t="str">
            <v>DS</v>
          </cell>
        </row>
        <row r="22">
          <cell r="B22">
            <v>46133</v>
          </cell>
          <cell r="C22" t="str">
            <v>DS</v>
          </cell>
        </row>
        <row r="23">
          <cell r="B23">
            <v>46133</v>
          </cell>
          <cell r="C23" t="str">
            <v>DS</v>
          </cell>
        </row>
        <row r="24">
          <cell r="B24">
            <v>46133</v>
          </cell>
          <cell r="C24" t="str">
            <v>DS</v>
          </cell>
        </row>
        <row r="25">
          <cell r="B25">
            <v>46133</v>
          </cell>
          <cell r="C25" t="str">
            <v>DS</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Z" refreshedDate="46101.442687615738" createdVersion="8" refreshedVersion="8" minRefreshableVersion="3" recordCount="119" xr:uid="{3FACA917-933D-423F-838C-6E9AC302AD90}">
  <cacheSource type="worksheet">
    <worksheetSource name="Table3"/>
  </cacheSource>
  <cacheFields count="2">
    <cacheField name="CN " numFmtId="0">
      <sharedItems containsBlank="1" containsMixedTypes="1" containsNumber="1" containsInteger="1" minValue="7515384006" maxValue="9014247814"/>
    </cacheField>
    <cacheField name="Courier Name " numFmtId="0">
      <sharedItems containsDate="1" containsBlank="1" containsMixedTypes="1" minDate="1899-12-30T00:00:00" maxDate="1899-12-31T00:00:00" count="12">
        <s v="adnan"/>
        <s v="zain "/>
        <s v="ehtisham"/>
        <s v="bilal"/>
        <s v="zain faizan "/>
        <s v="usama waheed"/>
        <s v="ilyas"/>
        <s v="usman "/>
        <m/>
        <s v="usman" u="1"/>
        <s v="usama waheed " u="1"/>
        <d v="1899-12-30T00:00:0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LE7530180764"/>
    <x v="0"/>
  </r>
  <r>
    <n v="9014244992"/>
    <x v="0"/>
  </r>
  <r>
    <s v="LE7530193063"/>
    <x v="0"/>
  </r>
  <r>
    <s v="LE7530158749"/>
    <x v="0"/>
  </r>
  <r>
    <s v="RN7525841888"/>
    <x v="0"/>
  </r>
  <r>
    <s v="KI7531446607"/>
    <x v="0"/>
  </r>
  <r>
    <s v="KI7531447806"/>
    <x v="0"/>
  </r>
  <r>
    <s v="KI7531336617"/>
    <x v="0"/>
  </r>
  <r>
    <s v="LE7530171284"/>
    <x v="0"/>
  </r>
  <r>
    <s v="MV7504027345"/>
    <x v="1"/>
  </r>
  <r>
    <s v="ID7530623072"/>
    <x v="1"/>
  </r>
  <r>
    <n v="7530189923"/>
    <x v="1"/>
  </r>
  <r>
    <s v="JG7525712412"/>
    <x v="1"/>
  </r>
  <r>
    <s v="LE7530177702"/>
    <x v="1"/>
  </r>
  <r>
    <s v="LE7530177694"/>
    <x v="1"/>
  </r>
  <r>
    <s v="LE7530176932"/>
    <x v="1"/>
  </r>
  <r>
    <s v="LE7530186623"/>
    <x v="1"/>
  </r>
  <r>
    <s v="KI7516413193"/>
    <x v="1"/>
  </r>
  <r>
    <s v="SA7525917589"/>
    <x v="1"/>
  </r>
  <r>
    <n v="7530196088"/>
    <x v="2"/>
  </r>
  <r>
    <s v="LE7530197382"/>
    <x v="2"/>
  </r>
  <r>
    <s v="SH7513693864"/>
    <x v="2"/>
  </r>
  <r>
    <n v="9014247814"/>
    <x v="2"/>
  </r>
  <r>
    <s v="LE7530192442"/>
    <x v="3"/>
  </r>
  <r>
    <s v="LE7530122396"/>
    <x v="3"/>
  </r>
  <r>
    <s v="KI7531386005"/>
    <x v="2"/>
  </r>
  <r>
    <s v="KI7531407351"/>
    <x v="4"/>
  </r>
  <r>
    <s v="LE7530186659"/>
    <x v="4"/>
  </r>
  <r>
    <s v="LE7530197374"/>
    <x v="4"/>
  </r>
  <r>
    <s v="BA7531568936"/>
    <x v="4"/>
  </r>
  <r>
    <n v="7515384006"/>
    <x v="4"/>
  </r>
  <r>
    <s v="LE7530185195"/>
    <x v="4"/>
  </r>
  <r>
    <s v="LE7530192983"/>
    <x v="4"/>
  </r>
  <r>
    <s v="PW7528750889"/>
    <x v="4"/>
  </r>
  <r>
    <s v="RN7525841922"/>
    <x v="4"/>
  </r>
  <r>
    <s v="LE7530177703"/>
    <x v="4"/>
  </r>
  <r>
    <s v="SA7525920027"/>
    <x v="4"/>
  </r>
  <r>
    <s v="MG7515590708"/>
    <x v="4"/>
  </r>
  <r>
    <s v="KI7531442186"/>
    <x v="4"/>
  </r>
  <r>
    <s v="KI7528969569"/>
    <x v="1"/>
  </r>
  <r>
    <s v="FS7528418490"/>
    <x v="1"/>
  </r>
  <r>
    <n v="7531407378"/>
    <x v="5"/>
  </r>
  <r>
    <n v="7530627206"/>
    <x v="5"/>
  </r>
  <r>
    <n v="7531400483"/>
    <x v="5"/>
  </r>
  <r>
    <s v="FS7528332116"/>
    <x v="6"/>
  </r>
  <r>
    <s v="RN7525841523"/>
    <x v="6"/>
  </r>
  <r>
    <s v="BR7527686230"/>
    <x v="6"/>
  </r>
  <r>
    <n v="7531380046"/>
    <x v="6"/>
  </r>
  <r>
    <s v="KI7531391474"/>
    <x v="6"/>
  </r>
  <r>
    <s v="BR7527685090"/>
    <x v="6"/>
  </r>
  <r>
    <s v="LE7530555635"/>
    <x v="6"/>
  </r>
  <r>
    <s v="KI7531430877"/>
    <x v="7"/>
  </r>
  <r>
    <s v="LE7530186665"/>
    <x v="7"/>
  </r>
  <r>
    <s v="LE0061280580"/>
    <x v="7"/>
  </r>
  <r>
    <s v="LE7530189700"/>
    <x v="7"/>
  </r>
  <r>
    <s v="LE7530192812"/>
    <x v="7"/>
  </r>
  <r>
    <s v="LE7530186025"/>
    <x v="7"/>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F7C8C4-0BDF-4E63-BDB3-2FF107924409}" name="PivotTable4" cacheId="0" autoFormatId="4099" applyNumberFormats="1" applyBorderFormats="1" applyFontFormats="1" applyPatternFormats="1" applyAlignmentFormats="1" applyWidthHeightFormats="1" dataCaption="Values" updatedVersion="8" minRefreshableVersion="3" useAutoFormatting="1" itemPrintTitles="1" createdVersion="8" indent="0" outline="1" outlineData="1" multipleFieldFilters="0" rowHeaderCaption="Courier Name ">
  <location ref="A1:B11" firstHeaderRow="1" firstDataRow="1" firstDataCol="1"/>
  <pivotFields count="2">
    <pivotField dataField="1" subtotalTop="0" showAll="0"/>
    <pivotField axis="axisRow" subtotalTop="0" showAll="0" sortType="descending">
      <items count="13">
        <item m="1" x="9"/>
        <item x="8"/>
        <item m="1" x="11"/>
        <item m="1" x="10"/>
        <item x="3"/>
        <item x="0"/>
        <item x="1"/>
        <item x="2"/>
        <item x="4"/>
        <item x="5"/>
        <item x="6"/>
        <item x="7"/>
        <item t="default"/>
      </items>
      <autoSortScope>
        <pivotArea dataOnly="0" outline="0" fieldPosition="0">
          <references count="1">
            <reference field="4294967294" count="1" selected="0">
              <x v="0"/>
            </reference>
          </references>
        </pivotArea>
      </autoSortScope>
    </pivotField>
  </pivotFields>
  <rowFields count="1">
    <field x="1"/>
  </rowFields>
  <rowItems count="10">
    <i>
      <x v="8"/>
    </i>
    <i>
      <x v="6"/>
    </i>
    <i>
      <x v="5"/>
    </i>
    <i>
      <x v="10"/>
    </i>
    <i>
      <x v="11"/>
    </i>
    <i>
      <x v="7"/>
    </i>
    <i>
      <x v="9"/>
    </i>
    <i>
      <x v="4"/>
    </i>
    <i>
      <x v="1"/>
    </i>
    <i t="grand">
      <x/>
    </i>
  </rowItems>
  <colItems count="1">
    <i/>
  </colItems>
  <dataFields count="1">
    <dataField name="Count of CN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ier_Name1" xr10:uid="{CF5B0627-186B-4909-88AE-067E8C64C079}" sourceName="Courier Name ">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ier Name  1" xr10:uid="{3ECC159B-0B37-47ED-803C-47CE2B66AA1B}" cache="Slicer_Courier_Name1" caption="Courier Name " columnCount="3" style="SlicerStyleDark6"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0F2828-74B1-4C47-8C77-36FB8E46CE50}" name="Table3" displayName="Table3" ref="F1:G120" totalsRowShown="0">
  <autoFilter ref="F1:G120" xr:uid="{B10F2828-74B1-4C47-8C77-36FB8E46CE50}"/>
  <sortState xmlns:xlrd2="http://schemas.microsoft.com/office/spreadsheetml/2017/richdata2" ref="F2:G120">
    <sortCondition ref="F1:F120"/>
  </sortState>
  <tableColumns count="2">
    <tableColumn id="1" xr3:uid="{D97F4A47-443A-42ED-A9B8-14E879A9D6B3}" name="CN "/>
    <tableColumn id="2" xr3:uid="{94580C4C-FD8E-431E-92AC-E66A5DF84367}" name="Courier Nam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142734-480E-491F-855C-152C6626D178}" name="Table2" displayName="Table2" ref="A1:L29" totalsRowCount="1" headerRowDxfId="826" headerRowBorderDxfId="825" tableBorderDxfId="824">
  <autoFilter ref="A1:L28" xr:uid="{EA18CE92-BD69-44E1-A393-EB328EA937B6}"/>
  <sortState xmlns:xlrd2="http://schemas.microsoft.com/office/spreadsheetml/2017/richdata2" ref="A2:L28">
    <sortCondition descending="1" ref="C1:C28"/>
  </sortState>
  <tableColumns count="12">
    <tableColumn id="1" xr3:uid="{A4E53C67-7531-4FCF-BA8B-F9CA38E63466}" name="Name " dataDxfId="823" totalsRowDxfId="822"/>
    <tableColumn id="2" xr3:uid="{78BA1665-2928-4076-BD42-BE3DD597B653}" name="Actual Day Count " dataDxfId="821" totalsRowDxfId="820"/>
    <tableColumn id="3" xr3:uid="{E941E895-2494-4864-A56D-D286BADAECD8}" name=" Extra  Day count " totalsRowFunction="sum" dataDxfId="819" totalsRowDxfId="818"/>
    <tableColumn id="4" xr3:uid="{7BB4EF07-B905-43E6-B5B2-CDB2440342D2}" name="Basic " dataDxfId="817"/>
    <tableColumn id="6" xr3:uid="{1D705E6D-8222-455D-BDA5-15AB249538AC}" name="Day's" dataDxfId="816"/>
    <tableColumn id="5" xr3:uid="{C54F25BB-2ED8-4E37-A8EA-EFDB8B7E31B3}" name="Per day AMT" dataDxfId="815">
      <calculatedColumnFormula>Table2[[#This Row],[Basic ]]/Table2[[#This Row],[Day''s]]</calculatedColumnFormula>
    </tableColumn>
    <tableColumn id="7" xr3:uid="{0C4F4B6B-6BAE-4EDE-B0E8-0E520C0939FA}" name="Total Amount Day's" totalsRowFunction="sum" dataDxfId="814" totalsRowDxfId="813">
      <calculatedColumnFormula>Table2[[#This Row],[Per day AMT]]*Table2[[#This Row],[ Extra  Day count ]]</calculatedColumnFormula>
    </tableColumn>
    <tableColumn id="8" xr3:uid="{87A48C47-465C-4EA3-B727-861D8DE6689A}" name="Fuel liter's" dataDxfId="812"/>
    <tableColumn id="9" xr3:uid="{CA80D6A5-822F-4C0B-85F4-7B2FC06FCB25}" name="Per Liter AMT" dataDxfId="811"/>
    <tableColumn id="10" xr3:uid="{7B7729AA-7EF6-4F27-B125-15665672695D}" name="T -F- Amount " dataDxfId="810">
      <calculatedColumnFormula>Table2[[#This Row],[Per Liter AMT]]*Table2[[#This Row],[Fuel liter''s]]</calculatedColumnFormula>
    </tableColumn>
    <tableColumn id="11" xr3:uid="{32D159A1-E22E-43AB-BA64-C2F799FDAE8B}" name="A F D AMT" dataDxfId="809">
      <calculatedColumnFormula>Table2[[#This Row],[T -F- Amount ]]*Table2[[#This Row],[ Extra  Day count ]]</calculatedColumnFormula>
    </tableColumn>
    <tableColumn id="12" xr3:uid="{4098785B-33E8-413D-9669-56893D04BE3D}" name="Total Amount " totalsRowFunction="sum" dataDxfId="808" totalsRowDxfId="807">
      <calculatedColumnFormula>Table2[[#This Row],[A F D AMT]]+Table2[[#This Row],[Total Amount Day''s]]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8B07-4FF7-4EC7-A8FD-C23F76310FFB}">
  <dimension ref="A1:AJ43"/>
  <sheetViews>
    <sheetView showGridLines="0" tabSelected="1" zoomScale="85" zoomScaleNormal="85" workbookViewId="0">
      <selection activeCell="F18" sqref="F18"/>
    </sheetView>
  </sheetViews>
  <sheetFormatPr defaultRowHeight="15"/>
  <cols>
    <col min="1" max="1" width="14.140625" bestFit="1" customWidth="1"/>
    <col min="2" max="2" width="15.140625" customWidth="1"/>
    <col min="3" max="3" width="21.5703125" customWidth="1"/>
    <col min="4" max="4" width="14.7109375" customWidth="1"/>
    <col min="5" max="5" width="11.28515625" bestFit="1" customWidth="1"/>
    <col min="6" max="6" width="14.7109375" bestFit="1" customWidth="1"/>
    <col min="7" max="7" width="14.42578125" bestFit="1" customWidth="1"/>
    <col min="8" max="8" width="14.7109375" bestFit="1" customWidth="1"/>
    <col min="9" max="9" width="20" bestFit="1" customWidth="1"/>
    <col min="10" max="10" width="13.140625" bestFit="1" customWidth="1"/>
    <col min="11" max="11" width="17.140625" bestFit="1" customWidth="1"/>
    <col min="12" max="12" width="14.85546875" customWidth="1"/>
    <col min="14" max="14" width="12.85546875" customWidth="1"/>
    <col min="22" max="22" width="13.7109375" bestFit="1" customWidth="1"/>
    <col min="23" max="23" width="8.7109375" bestFit="1" customWidth="1"/>
    <col min="24" max="24" width="8.7109375" customWidth="1"/>
    <col min="25" max="25" width="13.5703125" bestFit="1" customWidth="1"/>
    <col min="26" max="28" width="8.7109375" customWidth="1"/>
    <col min="29" max="29" width="4" bestFit="1" customWidth="1"/>
    <col min="30" max="30" width="14.140625" bestFit="1" customWidth="1"/>
    <col min="31" max="31" width="8.5703125" bestFit="1" customWidth="1"/>
    <col min="33" max="33" width="13.140625" bestFit="1" customWidth="1"/>
    <col min="34" max="34" width="8.5703125" bestFit="1" customWidth="1"/>
  </cols>
  <sheetData>
    <row r="1" spans="1:36" ht="15.75" thickBot="1">
      <c r="A1" s="162" t="s">
        <v>22</v>
      </c>
      <c r="B1" s="162"/>
      <c r="D1" s="162" t="s">
        <v>23</v>
      </c>
      <c r="E1" s="162"/>
      <c r="G1" s="170" t="s">
        <v>22</v>
      </c>
      <c r="H1" s="170"/>
    </row>
    <row r="2" spans="1:36">
      <c r="A2" s="9" t="s">
        <v>21</v>
      </c>
      <c r="B2" s="9" t="s">
        <v>14</v>
      </c>
      <c r="D2" s="9" t="s">
        <v>21</v>
      </c>
      <c r="E2" s="145" t="s">
        <v>14</v>
      </c>
      <c r="G2" s="163">
        <f>SUM(B3:B1048576)</f>
        <v>7</v>
      </c>
      <c r="H2" s="164"/>
      <c r="Y2">
        <v>43574</v>
      </c>
    </row>
    <row r="3" spans="1:36" ht="15.75" thickBot="1">
      <c r="A3" s="10" t="s">
        <v>4868</v>
      </c>
      <c r="B3" s="10">
        <v>17500</v>
      </c>
      <c r="D3" s="10" t="s">
        <v>4954</v>
      </c>
      <c r="E3" s="10">
        <v>1499</v>
      </c>
      <c r="G3" s="165"/>
      <c r="H3" s="166"/>
      <c r="Y3">
        <v>23574</v>
      </c>
    </row>
    <row r="4" spans="1:36" ht="15.75" thickBot="1">
      <c r="A4" s="10" t="s">
        <v>4927</v>
      </c>
      <c r="B4" s="10">
        <v>5199</v>
      </c>
      <c r="D4" s="10" t="s">
        <v>4968</v>
      </c>
      <c r="E4" s="10">
        <v>2550</v>
      </c>
      <c r="G4" s="167"/>
      <c r="H4" s="168"/>
      <c r="J4" s="38" t="s">
        <v>37</v>
      </c>
      <c r="K4" s="109">
        <v>0</v>
      </c>
      <c r="L4" s="159">
        <f>SUM(K4:K6)</f>
        <v>10500</v>
      </c>
    </row>
    <row r="5" spans="1:36" ht="15.75" customHeight="1" thickBot="1">
      <c r="A5" s="10"/>
      <c r="B5" s="10"/>
      <c r="D5" s="10" t="s">
        <v>4966</v>
      </c>
      <c r="E5" s="10">
        <v>3165</v>
      </c>
      <c r="J5" s="51" t="s">
        <v>4570</v>
      </c>
      <c r="K5" s="110">
        <v>10500</v>
      </c>
      <c r="L5" s="160"/>
      <c r="R5">
        <f>14823-1150</f>
        <v>13673</v>
      </c>
    </row>
    <row r="6" spans="1:36" ht="15.75" customHeight="1" thickBot="1">
      <c r="A6" s="10"/>
      <c r="B6" s="10"/>
      <c r="D6" s="10" t="s">
        <v>4969</v>
      </c>
      <c r="E6" s="10">
        <v>3199</v>
      </c>
      <c r="G6" s="170" t="s">
        <v>23</v>
      </c>
      <c r="H6" s="170"/>
      <c r="J6" s="50" t="s">
        <v>73</v>
      </c>
      <c r="K6" s="111">
        <v>0</v>
      </c>
      <c r="L6" s="161"/>
    </row>
    <row r="7" spans="1:36">
      <c r="A7" s="10" t="s">
        <v>4928</v>
      </c>
      <c r="B7" s="10">
        <v>8999</v>
      </c>
      <c r="D7" s="10" t="s">
        <v>4957</v>
      </c>
      <c r="E7" s="10">
        <v>3300</v>
      </c>
      <c r="G7" s="163">
        <f>SUM(E3:E1048576)</f>
        <v>50438</v>
      </c>
      <c r="H7" s="164"/>
      <c r="J7" t="s">
        <v>26</v>
      </c>
    </row>
    <row r="8" spans="1:36">
      <c r="A8" s="10" t="s">
        <v>4929</v>
      </c>
      <c r="B8" s="10">
        <v>8999</v>
      </c>
      <c r="D8" s="10" t="s">
        <v>4963</v>
      </c>
      <c r="E8" s="10">
        <v>3590</v>
      </c>
      <c r="G8" s="165"/>
      <c r="H8" s="166"/>
      <c r="I8" s="10" t="s">
        <v>4689</v>
      </c>
      <c r="J8" s="10">
        <v>699</v>
      </c>
      <c r="N8">
        <v>530</v>
      </c>
      <c r="O8" t="s">
        <v>4831</v>
      </c>
    </row>
    <row r="9" spans="1:36" ht="15.75" thickBot="1">
      <c r="A9" s="10"/>
      <c r="B9" s="10"/>
      <c r="D9" s="10" t="s">
        <v>4967</v>
      </c>
      <c r="E9" s="10">
        <v>7705</v>
      </c>
      <c r="G9" s="167"/>
      <c r="H9" s="169"/>
      <c r="I9" s="10" t="s">
        <v>4836</v>
      </c>
      <c r="J9" s="10">
        <v>2649</v>
      </c>
      <c r="N9">
        <v>1213</v>
      </c>
      <c r="O9" t="s">
        <v>4863</v>
      </c>
      <c r="V9" s="16" t="s">
        <v>17</v>
      </c>
      <c r="W9" s="16" t="s">
        <v>4832</v>
      </c>
      <c r="X9" s="62"/>
      <c r="Y9" s="16" t="s">
        <v>17</v>
      </c>
      <c r="Z9" s="16" t="s">
        <v>4832</v>
      </c>
      <c r="AA9" s="62"/>
      <c r="AB9" s="62"/>
      <c r="AD9" s="16" t="s">
        <v>17</v>
      </c>
      <c r="AE9" s="16" t="s">
        <v>4832</v>
      </c>
      <c r="AG9" s="158" t="s">
        <v>17</v>
      </c>
      <c r="AH9" s="158" t="s">
        <v>4832</v>
      </c>
    </row>
    <row r="10" spans="1:36">
      <c r="A10" s="10"/>
      <c r="B10" s="10"/>
      <c r="D10" s="10" t="s">
        <v>4959</v>
      </c>
      <c r="E10" s="10">
        <v>23800</v>
      </c>
      <c r="I10" s="10" t="s">
        <v>4857</v>
      </c>
      <c r="J10" s="10">
        <v>2800</v>
      </c>
      <c r="U10" t="s">
        <v>4859</v>
      </c>
      <c r="V10" s="14" t="s">
        <v>4843</v>
      </c>
      <c r="W10" s="15">
        <v>4699</v>
      </c>
      <c r="X10" s="3"/>
      <c r="Y10" s="1" t="s">
        <v>4863</v>
      </c>
      <c r="Z10" s="1">
        <v>7951</v>
      </c>
      <c r="AA10" s="3" t="s">
        <v>4953</v>
      </c>
      <c r="AB10" s="3"/>
      <c r="AC10" t="s">
        <v>4860</v>
      </c>
      <c r="AD10" s="14" t="s">
        <v>4566</v>
      </c>
      <c r="AE10" s="14">
        <v>10000</v>
      </c>
      <c r="AF10" t="s">
        <v>4839</v>
      </c>
      <c r="AG10" s="1" t="s">
        <v>4861</v>
      </c>
      <c r="AH10" s="1">
        <v>18550</v>
      </c>
      <c r="AJ10" t="s">
        <v>4862</v>
      </c>
    </row>
    <row r="11" spans="1:36">
      <c r="A11" s="10"/>
      <c r="B11" s="10"/>
      <c r="D11" s="10" t="s">
        <v>4970</v>
      </c>
      <c r="E11" s="10">
        <v>1630</v>
      </c>
      <c r="I11" s="115"/>
      <c r="J11" s="115"/>
      <c r="K11" s="114"/>
      <c r="U11" t="s">
        <v>4859</v>
      </c>
      <c r="V11" s="152" t="s">
        <v>4851</v>
      </c>
      <c r="W11" s="15">
        <v>6250</v>
      </c>
      <c r="X11" s="3"/>
      <c r="Y11" s="1" t="s">
        <v>4865</v>
      </c>
      <c r="Z11" s="1">
        <v>10698</v>
      </c>
      <c r="AA11" s="3" t="s">
        <v>4953</v>
      </c>
      <c r="AB11" s="3"/>
      <c r="AC11" t="s">
        <v>4859</v>
      </c>
      <c r="AD11" s="14" t="s">
        <v>4855</v>
      </c>
      <c r="AE11" s="155">
        <v>10500</v>
      </c>
      <c r="AF11" t="s">
        <v>4839</v>
      </c>
      <c r="AG11" s="1" t="s">
        <v>4858</v>
      </c>
      <c r="AH11" s="1">
        <v>7000</v>
      </c>
      <c r="AJ11" t="s">
        <v>4862</v>
      </c>
    </row>
    <row r="12" spans="1:36">
      <c r="A12" s="10" t="s">
        <v>4971</v>
      </c>
      <c r="B12" s="10">
        <v>-6890</v>
      </c>
      <c r="D12" s="10"/>
      <c r="E12" s="10"/>
      <c r="I12" s="3"/>
      <c r="K12" s="3"/>
      <c r="U12" t="s">
        <v>4860</v>
      </c>
      <c r="V12" s="14" t="s">
        <v>4577</v>
      </c>
      <c r="W12" s="15">
        <v>10000</v>
      </c>
      <c r="X12" s="153"/>
      <c r="Y12" s="1" t="s">
        <v>4867</v>
      </c>
      <c r="Z12" s="1">
        <v>12500</v>
      </c>
      <c r="AA12" s="153" t="s">
        <v>4926</v>
      </c>
      <c r="AB12" s="153"/>
      <c r="AC12" t="s">
        <v>4859</v>
      </c>
      <c r="AD12" s="14" t="s">
        <v>4845</v>
      </c>
      <c r="AE12" s="14">
        <v>8500</v>
      </c>
      <c r="AF12" t="s">
        <v>4839</v>
      </c>
      <c r="AG12" s="1" t="s">
        <v>4864</v>
      </c>
      <c r="AH12" s="1">
        <v>9600</v>
      </c>
      <c r="AJ12" t="s">
        <v>4862</v>
      </c>
    </row>
    <row r="13" spans="1:36">
      <c r="A13" s="10" t="s">
        <v>4972</v>
      </c>
      <c r="B13" s="10">
        <v>-33800</v>
      </c>
      <c r="D13" s="10"/>
      <c r="E13" s="10"/>
      <c r="J13" s="3"/>
      <c r="K13" s="3"/>
      <c r="L13" s="3"/>
      <c r="U13" t="s">
        <v>4859</v>
      </c>
      <c r="V13" s="152" t="s">
        <v>4850</v>
      </c>
      <c r="W13" s="156">
        <v>10200</v>
      </c>
      <c r="X13" s="3"/>
      <c r="Y13" s="157" t="s">
        <v>4509</v>
      </c>
      <c r="Z13" s="157">
        <f>SUM(Z10:Z12)</f>
        <v>31149</v>
      </c>
      <c r="AA13" s="3"/>
      <c r="AB13" s="3"/>
      <c r="AC13" t="s">
        <v>4859</v>
      </c>
      <c r="AD13" s="14" t="s">
        <v>4844</v>
      </c>
      <c r="AE13" s="14">
        <v>7000</v>
      </c>
      <c r="AF13" t="s">
        <v>4839</v>
      </c>
      <c r="AG13" s="1" t="s">
        <v>4866</v>
      </c>
      <c r="AH13" s="1">
        <v>850</v>
      </c>
      <c r="AJ13" t="s">
        <v>4862</v>
      </c>
    </row>
    <row r="14" spans="1:36" ht="15.75">
      <c r="A14" s="10"/>
      <c r="B14" s="10"/>
      <c r="D14" s="10"/>
      <c r="E14" s="10"/>
      <c r="G14" s="27" t="s">
        <v>37</v>
      </c>
      <c r="H14" s="27" t="s">
        <v>57</v>
      </c>
      <c r="I14" s="27" t="s">
        <v>4552</v>
      </c>
      <c r="J14" s="27" t="s">
        <v>56</v>
      </c>
      <c r="K14" s="27" t="s">
        <v>55</v>
      </c>
      <c r="V14" s="16" t="s">
        <v>4509</v>
      </c>
      <c r="W14" s="146">
        <f>SUM(W10:W13)</f>
        <v>31149</v>
      </c>
      <c r="X14" s="153"/>
      <c r="AA14" s="153"/>
      <c r="AB14" s="153"/>
      <c r="AD14" s="16" t="s">
        <v>4509</v>
      </c>
      <c r="AE14" s="16">
        <f>SUM(AE10:AE13)</f>
        <v>36000</v>
      </c>
      <c r="AG14" s="157" t="s">
        <v>4509</v>
      </c>
      <c r="AH14" s="157">
        <f>SUM(AH10:AH13)</f>
        <v>36000</v>
      </c>
    </row>
    <row r="15" spans="1:36">
      <c r="A15" s="10"/>
      <c r="B15" s="10"/>
      <c r="D15" s="10"/>
      <c r="E15" s="10"/>
      <c r="G15" s="28">
        <v>850</v>
      </c>
      <c r="H15" s="28">
        <v>39130</v>
      </c>
      <c r="I15" s="28">
        <f>H15+G15</f>
        <v>39980</v>
      </c>
      <c r="J15" s="28">
        <v>50438</v>
      </c>
      <c r="K15" s="28">
        <f>J15-I15</f>
        <v>10458</v>
      </c>
      <c r="X15" s="3"/>
      <c r="Y15" s="3"/>
      <c r="Z15" s="3"/>
      <c r="AA15" s="3"/>
      <c r="AB15" s="3"/>
    </row>
    <row r="16" spans="1:36">
      <c r="A16" s="10"/>
      <c r="B16" s="10"/>
      <c r="D16" s="10"/>
      <c r="E16" s="10"/>
      <c r="J16" s="23"/>
      <c r="X16" s="3"/>
      <c r="Y16" s="3"/>
      <c r="Z16" s="3"/>
      <c r="AA16" s="3"/>
      <c r="AB16" s="3"/>
    </row>
    <row r="17" spans="1:28">
      <c r="A17" s="10"/>
      <c r="B17" s="10"/>
      <c r="D17" s="10"/>
      <c r="E17" s="10"/>
      <c r="J17" s="23"/>
      <c r="X17" s="3"/>
      <c r="Y17" s="3"/>
      <c r="Z17" s="3"/>
      <c r="AA17" s="3"/>
      <c r="AB17" s="3"/>
    </row>
    <row r="18" spans="1:28">
      <c r="A18" s="10"/>
      <c r="B18" s="10"/>
      <c r="D18" s="10"/>
      <c r="E18" s="10"/>
      <c r="G18" s="141"/>
      <c r="H18" s="141"/>
      <c r="I18" s="3" t="s">
        <v>4956</v>
      </c>
      <c r="J18" t="s">
        <v>4921</v>
      </c>
      <c r="L18" s="148"/>
      <c r="X18" s="154"/>
      <c r="Y18" s="154"/>
      <c r="Z18" s="154"/>
      <c r="AA18" s="154"/>
      <c r="AB18" s="154"/>
    </row>
    <row r="19" spans="1:28">
      <c r="A19" s="10"/>
      <c r="B19" s="10"/>
      <c r="D19" s="10"/>
      <c r="E19" s="10"/>
      <c r="G19" s="141"/>
      <c r="H19" s="141"/>
      <c r="I19" s="3" t="s">
        <v>4956</v>
      </c>
      <c r="J19" t="s">
        <v>4916</v>
      </c>
      <c r="K19" t="s">
        <v>4923</v>
      </c>
      <c r="L19" s="113"/>
      <c r="M19" s="101"/>
    </row>
    <row r="20" spans="1:28">
      <c r="A20" s="10"/>
      <c r="B20" s="10"/>
      <c r="D20" s="10"/>
      <c r="E20" s="10"/>
      <c r="F20" t="s">
        <v>4965</v>
      </c>
      <c r="G20" s="141" t="s">
        <v>4964</v>
      </c>
      <c r="H20" s="141"/>
      <c r="I20" s="3" t="s">
        <v>4958</v>
      </c>
      <c r="J20" t="s">
        <v>4917</v>
      </c>
      <c r="L20" s="148"/>
    </row>
    <row r="21" spans="1:28">
      <c r="A21" s="10"/>
      <c r="B21" s="10"/>
      <c r="D21" s="10"/>
      <c r="E21" s="10"/>
      <c r="F21" t="s">
        <v>4974</v>
      </c>
      <c r="G21" t="s">
        <v>4973</v>
      </c>
      <c r="H21" s="141"/>
      <c r="I21" s="3" t="s">
        <v>4958</v>
      </c>
      <c r="J21" s="26" t="s">
        <v>4919</v>
      </c>
      <c r="L21" s="147"/>
    </row>
    <row r="22" spans="1:28">
      <c r="A22" s="10"/>
      <c r="B22" s="10"/>
      <c r="D22" s="10"/>
      <c r="E22" s="10"/>
      <c r="H22" s="141"/>
      <c r="I22" s="3" t="s">
        <v>4958</v>
      </c>
      <c r="J22" s="144" t="s">
        <v>4918</v>
      </c>
      <c r="L22" s="113"/>
      <c r="M22" s="101"/>
    </row>
    <row r="23" spans="1:28">
      <c r="A23" s="10"/>
      <c r="B23" s="10"/>
      <c r="D23" s="10"/>
      <c r="E23" s="10"/>
      <c r="F23" s="62"/>
      <c r="G23" s="141"/>
      <c r="H23" s="141"/>
      <c r="I23" s="3"/>
      <c r="J23" s="144"/>
      <c r="K23" s="26"/>
      <c r="M23" s="101"/>
    </row>
    <row r="24" spans="1:28">
      <c r="A24" s="10"/>
      <c r="B24" s="10"/>
      <c r="D24" s="10"/>
      <c r="E24" s="10"/>
      <c r="F24" s="62"/>
      <c r="H24" s="141"/>
      <c r="I24" s="3" t="s">
        <v>4955</v>
      </c>
      <c r="J24" t="s">
        <v>4920</v>
      </c>
      <c r="L24" s="26"/>
    </row>
    <row r="25" spans="1:28">
      <c r="A25" s="10"/>
      <c r="B25" s="10"/>
      <c r="D25" s="10"/>
      <c r="E25" s="10"/>
      <c r="F25" s="62"/>
      <c r="H25" s="141"/>
      <c r="I25" s="92"/>
      <c r="J25" t="s">
        <v>4922</v>
      </c>
      <c r="K25" s="26"/>
      <c r="M25" s="101"/>
    </row>
    <row r="26" spans="1:28">
      <c r="F26" s="62"/>
      <c r="H26" s="141"/>
      <c r="I26" s="92"/>
      <c r="K26" s="26"/>
      <c r="L26" s="147"/>
    </row>
    <row r="27" spans="1:28">
      <c r="F27" s="62"/>
      <c r="H27" s="141"/>
      <c r="I27" s="92"/>
      <c r="L27" s="147"/>
      <c r="M27" s="101"/>
    </row>
    <row r="28" spans="1:28">
      <c r="F28" s="62"/>
      <c r="H28" s="141"/>
      <c r="I28" s="3"/>
    </row>
    <row r="29" spans="1:28">
      <c r="F29" s="62"/>
      <c r="G29" s="62"/>
      <c r="I29" s="3"/>
    </row>
    <row r="30" spans="1:28">
      <c r="F30" s="26"/>
      <c r="G30" s="62"/>
      <c r="I30" s="3"/>
    </row>
    <row r="31" spans="1:28">
      <c r="G31" s="62"/>
    </row>
    <row r="32" spans="1:28">
      <c r="D32" s="62"/>
      <c r="E32" s="62"/>
      <c r="G32" s="62"/>
      <c r="I32" s="23"/>
    </row>
    <row r="33" spans="4:9">
      <c r="D33" s="62"/>
      <c r="E33" s="62"/>
      <c r="G33" s="62"/>
      <c r="I33" s="3"/>
    </row>
    <row r="34" spans="4:9">
      <c r="D34" s="62"/>
      <c r="E34" s="62"/>
      <c r="G34" s="62"/>
      <c r="I34" s="3"/>
    </row>
    <row r="35" spans="4:9">
      <c r="G35" s="62"/>
      <c r="I35" s="3"/>
    </row>
    <row r="36" spans="4:9">
      <c r="G36" s="62"/>
    </row>
    <row r="37" spans="4:9">
      <c r="G37" s="62"/>
      <c r="I37" s="74"/>
    </row>
    <row r="38" spans="4:9">
      <c r="G38" s="62"/>
      <c r="I38" s="74"/>
    </row>
    <row r="39" spans="4:9">
      <c r="G39" s="62"/>
      <c r="I39" s="74"/>
    </row>
    <row r="40" spans="4:9">
      <c r="G40" s="62"/>
      <c r="I40" s="74"/>
    </row>
    <row r="41" spans="4:9">
      <c r="G41" s="62"/>
      <c r="I41" s="74"/>
    </row>
    <row r="42" spans="4:9">
      <c r="G42" s="62"/>
      <c r="H42" s="60"/>
      <c r="I42" s="74"/>
    </row>
    <row r="43" spans="4:9">
      <c r="G43" s="62"/>
    </row>
  </sheetData>
  <mergeCells count="7">
    <mergeCell ref="L4:L6"/>
    <mergeCell ref="A1:B1"/>
    <mergeCell ref="D1:E1"/>
    <mergeCell ref="G2:H4"/>
    <mergeCell ref="G7:H9"/>
    <mergeCell ref="G6:H6"/>
    <mergeCell ref="G1:H1"/>
  </mergeCells>
  <conditionalFormatting sqref="A9">
    <cfRule type="duplicateValues" dxfId="765" priority="787"/>
    <cfRule type="duplicateValues" dxfId="764" priority="789"/>
    <cfRule type="duplicateValues" dxfId="763" priority="790"/>
    <cfRule type="duplicateValues" dxfId="762" priority="791"/>
    <cfRule type="duplicateValues" dxfId="761" priority="792"/>
    <cfRule type="duplicateValues" dxfId="760" priority="793"/>
    <cfRule type="duplicateValues" dxfId="759" priority="794"/>
    <cfRule type="duplicateValues" dxfId="758" priority="795"/>
    <cfRule type="duplicateValues" dxfId="757" priority="796"/>
    <cfRule type="duplicateValues" dxfId="756" priority="797"/>
    <cfRule type="duplicateValues" dxfId="755" priority="798"/>
    <cfRule type="duplicateValues" dxfId="754" priority="799"/>
    <cfRule type="duplicateValues" dxfId="753" priority="800"/>
    <cfRule type="duplicateValues" dxfId="752" priority="801"/>
    <cfRule type="duplicateValues" dxfId="751" priority="802"/>
    <cfRule type="duplicateValues" dxfId="750" priority="803"/>
  </conditionalFormatting>
  <conditionalFormatting sqref="A9:A10 A12">
    <cfRule type="duplicateValues" dxfId="749" priority="868"/>
  </conditionalFormatting>
  <conditionalFormatting sqref="A9:A10 A12:A13">
    <cfRule type="duplicateValues" dxfId="748" priority="786"/>
    <cfRule type="duplicateValues" dxfId="747" priority="864"/>
    <cfRule type="duplicateValues" dxfId="746" priority="865"/>
    <cfRule type="duplicateValues" dxfId="745" priority="866"/>
    <cfRule type="duplicateValues" dxfId="744" priority="867"/>
  </conditionalFormatting>
  <conditionalFormatting sqref="A9:A10 A13">
    <cfRule type="duplicateValues" dxfId="743" priority="859"/>
  </conditionalFormatting>
  <conditionalFormatting sqref="A9:A10">
    <cfRule type="duplicateValues" dxfId="742" priority="788"/>
  </conditionalFormatting>
  <conditionalFormatting sqref="A10">
    <cfRule type="duplicateValues" dxfId="741" priority="809"/>
    <cfRule type="duplicateValues" dxfId="740" priority="810"/>
    <cfRule type="duplicateValues" dxfId="739" priority="811"/>
    <cfRule type="duplicateValues" dxfId="738" priority="812"/>
    <cfRule type="duplicateValues" dxfId="737" priority="813"/>
    <cfRule type="duplicateValues" dxfId="736" priority="814"/>
    <cfRule type="duplicateValues" dxfId="735" priority="815"/>
    <cfRule type="duplicateValues" dxfId="734" priority="816"/>
    <cfRule type="duplicateValues" dxfId="733" priority="817"/>
    <cfRule type="duplicateValues" dxfId="732" priority="818"/>
    <cfRule type="duplicateValues" dxfId="731" priority="819"/>
    <cfRule type="duplicateValues" dxfId="730" priority="820"/>
    <cfRule type="duplicateValues" dxfId="729" priority="821"/>
    <cfRule type="duplicateValues" dxfId="728" priority="822"/>
    <cfRule type="duplicateValues" dxfId="727" priority="823"/>
    <cfRule type="duplicateValues" dxfId="726" priority="824"/>
    <cfRule type="duplicateValues" dxfId="725" priority="825"/>
    <cfRule type="duplicateValues" dxfId="724" priority="826"/>
  </conditionalFormatting>
  <conditionalFormatting sqref="A11">
    <cfRule type="duplicateValues" dxfId="723" priority="535"/>
    <cfRule type="duplicateValues" dxfId="722" priority="536"/>
    <cfRule type="duplicateValues" dxfId="721" priority="537"/>
    <cfRule type="duplicateValues" dxfId="720" priority="538"/>
    <cfRule type="duplicateValues" dxfId="719" priority="539"/>
    <cfRule type="duplicateValues" dxfId="718" priority="540"/>
    <cfRule type="duplicateValues" dxfId="717" priority="541"/>
    <cfRule type="duplicateValues" dxfId="716" priority="542"/>
    <cfRule type="duplicateValues" dxfId="715" priority="543"/>
    <cfRule type="duplicateValues" dxfId="714" priority="544"/>
    <cfRule type="duplicateValues" dxfId="713" priority="545"/>
    <cfRule type="duplicateValues" dxfId="712" priority="546"/>
    <cfRule type="duplicateValues" dxfId="711" priority="547"/>
    <cfRule type="duplicateValues" dxfId="710" priority="548"/>
    <cfRule type="duplicateValues" dxfId="709" priority="549"/>
    <cfRule type="duplicateValues" dxfId="708" priority="550"/>
    <cfRule type="duplicateValues" dxfId="707" priority="551"/>
  </conditionalFormatting>
  <conditionalFormatting sqref="A12">
    <cfRule type="duplicateValues" dxfId="706" priority="828"/>
    <cfRule type="duplicateValues" dxfId="705" priority="829"/>
    <cfRule type="duplicateValues" dxfId="704" priority="830"/>
    <cfRule type="duplicateValues" dxfId="703" priority="831"/>
    <cfRule type="duplicateValues" dxfId="702" priority="832"/>
    <cfRule type="duplicateValues" dxfId="701" priority="833"/>
    <cfRule type="duplicateValues" dxfId="700" priority="834"/>
    <cfRule type="duplicateValues" dxfId="699" priority="835"/>
    <cfRule type="duplicateValues" dxfId="698" priority="836"/>
    <cfRule type="duplicateValues" dxfId="697" priority="837"/>
    <cfRule type="duplicateValues" dxfId="696" priority="838"/>
    <cfRule type="duplicateValues" dxfId="695" priority="839"/>
    <cfRule type="duplicateValues" dxfId="694" priority="840"/>
    <cfRule type="duplicateValues" dxfId="693" priority="841"/>
    <cfRule type="duplicateValues" dxfId="692" priority="842"/>
    <cfRule type="duplicateValues" dxfId="691" priority="843"/>
  </conditionalFormatting>
  <conditionalFormatting sqref="A12:A13">
    <cfRule type="duplicateValues" dxfId="690" priority="860"/>
    <cfRule type="duplicateValues" dxfId="689" priority="861"/>
    <cfRule type="duplicateValues" dxfId="688" priority="862"/>
    <cfRule type="duplicateValues" dxfId="687" priority="863"/>
  </conditionalFormatting>
  <conditionalFormatting sqref="A13">
    <cfRule type="duplicateValues" dxfId="686" priority="844"/>
    <cfRule type="duplicateValues" dxfId="685" priority="845"/>
    <cfRule type="duplicateValues" dxfId="684" priority="846"/>
    <cfRule type="duplicateValues" dxfId="683" priority="847"/>
    <cfRule type="duplicateValues" dxfId="682" priority="848"/>
    <cfRule type="duplicateValues" dxfId="681" priority="849"/>
    <cfRule type="duplicateValues" dxfId="680" priority="850"/>
    <cfRule type="duplicateValues" dxfId="679" priority="851"/>
    <cfRule type="duplicateValues" dxfId="678" priority="852"/>
    <cfRule type="duplicateValues" dxfId="677" priority="853"/>
    <cfRule type="duplicateValues" dxfId="676" priority="854"/>
    <cfRule type="duplicateValues" dxfId="675" priority="855"/>
    <cfRule type="duplicateValues" dxfId="674" priority="856"/>
    <cfRule type="duplicateValues" dxfId="673" priority="857"/>
    <cfRule type="duplicateValues" dxfId="672" priority="858"/>
  </conditionalFormatting>
  <conditionalFormatting sqref="A14">
    <cfRule type="duplicateValues" dxfId="671" priority="1026"/>
    <cfRule type="duplicateValues" dxfId="670" priority="1054"/>
    <cfRule type="duplicateValues" dxfId="669" priority="1055"/>
    <cfRule type="duplicateValues" dxfId="668" priority="1056"/>
    <cfRule type="duplicateValues" dxfId="667" priority="1057"/>
    <cfRule type="duplicateValues" dxfId="666" priority="1058"/>
    <cfRule type="duplicateValues" dxfId="665" priority="1059"/>
    <cfRule type="duplicateValues" dxfId="664" priority="1060"/>
    <cfRule type="duplicateValues" dxfId="663" priority="1061"/>
    <cfRule type="duplicateValues" dxfId="662" priority="1062"/>
    <cfRule type="duplicateValues" dxfId="661" priority="1063"/>
    <cfRule type="duplicateValues" dxfId="660" priority="1064"/>
    <cfRule type="duplicateValues" dxfId="659" priority="1065"/>
    <cfRule type="duplicateValues" dxfId="658" priority="1066"/>
    <cfRule type="duplicateValues" dxfId="657" priority="1067"/>
    <cfRule type="duplicateValues" dxfId="656" priority="1068"/>
    <cfRule type="duplicateValues" dxfId="655" priority="1069"/>
    <cfRule type="duplicateValues" dxfId="654" priority="1070"/>
    <cfRule type="duplicateValues" dxfId="653" priority="1071"/>
    <cfRule type="duplicateValues" dxfId="652" priority="1072"/>
    <cfRule type="duplicateValues" dxfId="651" priority="1073"/>
    <cfRule type="duplicateValues" dxfId="650" priority="1074"/>
  </conditionalFormatting>
  <conditionalFormatting sqref="A15 A17:A19">
    <cfRule type="duplicateValues" dxfId="649" priority="665"/>
    <cfRule type="duplicateValues" dxfId="648" priority="666"/>
  </conditionalFormatting>
  <conditionalFormatting sqref="A15">
    <cfRule type="duplicateValues" dxfId="647" priority="629"/>
    <cfRule type="duplicateValues" dxfId="646" priority="630"/>
    <cfRule type="duplicateValues" dxfId="645" priority="631"/>
    <cfRule type="duplicateValues" dxfId="644" priority="632"/>
    <cfRule type="duplicateValues" dxfId="643" priority="633"/>
    <cfRule type="duplicateValues" dxfId="642" priority="634"/>
    <cfRule type="duplicateValues" dxfId="641" priority="635"/>
    <cfRule type="duplicateValues" dxfId="640" priority="636"/>
    <cfRule type="duplicateValues" dxfId="639" priority="637"/>
    <cfRule type="duplicateValues" dxfId="638" priority="638"/>
    <cfRule type="duplicateValues" dxfId="637" priority="639"/>
    <cfRule type="duplicateValues" dxfId="636" priority="640"/>
    <cfRule type="duplicateValues" dxfId="635" priority="641"/>
    <cfRule type="duplicateValues" dxfId="634" priority="642"/>
    <cfRule type="duplicateValues" dxfId="633" priority="643"/>
    <cfRule type="duplicateValues" dxfId="632" priority="644"/>
    <cfRule type="duplicateValues" dxfId="631" priority="645"/>
    <cfRule type="duplicateValues" dxfId="630" priority="646"/>
    <cfRule type="duplicateValues" dxfId="629" priority="647"/>
    <cfRule type="duplicateValues" dxfId="628" priority="648"/>
    <cfRule type="duplicateValues" dxfId="627" priority="649"/>
    <cfRule type="duplicateValues" dxfId="626" priority="667"/>
  </conditionalFormatting>
  <conditionalFormatting sqref="A15:A16">
    <cfRule type="duplicateValues" dxfId="625" priority="668"/>
  </conditionalFormatting>
  <conditionalFormatting sqref="A16">
    <cfRule type="duplicateValues" dxfId="624" priority="608"/>
    <cfRule type="duplicateValues" dxfId="623" priority="609"/>
    <cfRule type="duplicateValues" dxfId="622" priority="610"/>
    <cfRule type="duplicateValues" dxfId="621" priority="611"/>
    <cfRule type="duplicateValues" dxfId="620" priority="612"/>
    <cfRule type="duplicateValues" dxfId="619" priority="613"/>
    <cfRule type="duplicateValues" dxfId="618" priority="614"/>
    <cfRule type="duplicateValues" dxfId="617" priority="615"/>
    <cfRule type="duplicateValues" dxfId="616" priority="616"/>
    <cfRule type="duplicateValues" dxfId="615" priority="617"/>
    <cfRule type="duplicateValues" dxfId="614" priority="618"/>
    <cfRule type="duplicateValues" dxfId="613" priority="619"/>
    <cfRule type="duplicateValues" dxfId="612" priority="620"/>
    <cfRule type="duplicateValues" dxfId="611" priority="621"/>
    <cfRule type="duplicateValues" dxfId="610" priority="622"/>
    <cfRule type="duplicateValues" dxfId="609" priority="623"/>
    <cfRule type="duplicateValues" dxfId="608" priority="624"/>
    <cfRule type="duplicateValues" dxfId="607" priority="625"/>
    <cfRule type="duplicateValues" dxfId="606" priority="626"/>
    <cfRule type="duplicateValues" dxfId="605" priority="627"/>
    <cfRule type="duplicateValues" dxfId="604" priority="628"/>
  </conditionalFormatting>
  <conditionalFormatting sqref="A17:A18">
    <cfRule type="duplicateValues" dxfId="603" priority="659"/>
    <cfRule type="duplicateValues" dxfId="602" priority="660"/>
    <cfRule type="duplicateValues" dxfId="601" priority="661"/>
    <cfRule type="duplicateValues" dxfId="600" priority="662"/>
    <cfRule type="duplicateValues" dxfId="599" priority="663"/>
    <cfRule type="duplicateValues" dxfId="598" priority="664"/>
  </conditionalFormatting>
  <conditionalFormatting sqref="A18">
    <cfRule type="duplicateValues" dxfId="597" priority="650"/>
    <cfRule type="duplicateValues" dxfId="596" priority="651"/>
    <cfRule type="duplicateValues" dxfId="595" priority="652"/>
    <cfRule type="duplicateValues" dxfId="594" priority="653"/>
    <cfRule type="duplicateValues" dxfId="593" priority="654"/>
    <cfRule type="duplicateValues" dxfId="592" priority="655"/>
    <cfRule type="duplicateValues" dxfId="591" priority="656"/>
    <cfRule type="duplicateValues" dxfId="590" priority="657"/>
    <cfRule type="duplicateValues" dxfId="589" priority="658"/>
  </conditionalFormatting>
  <conditionalFormatting sqref="A20">
    <cfRule type="duplicateValues" dxfId="588" priority="3131"/>
    <cfRule type="duplicateValues" dxfId="587" priority="3132"/>
    <cfRule type="duplicateValues" dxfId="586" priority="3133"/>
    <cfRule type="duplicateValues" dxfId="585" priority="3134"/>
    <cfRule type="duplicateValues" dxfId="584" priority="3135"/>
    <cfRule type="duplicateValues" dxfId="583" priority="3136"/>
    <cfRule type="duplicateValues" dxfId="582" priority="3137"/>
    <cfRule type="duplicateValues" dxfId="581" priority="3138"/>
    <cfRule type="duplicateValues" dxfId="580" priority="3139"/>
    <cfRule type="duplicateValues" dxfId="579" priority="3140"/>
    <cfRule type="duplicateValues" dxfId="578" priority="3141"/>
    <cfRule type="duplicateValues" dxfId="577" priority="3142"/>
    <cfRule type="duplicateValues" dxfId="576" priority="3143"/>
    <cfRule type="duplicateValues" dxfId="575" priority="3144"/>
    <cfRule type="duplicateValues" dxfId="574" priority="3145"/>
    <cfRule type="duplicateValues" dxfId="573" priority="3146"/>
  </conditionalFormatting>
  <conditionalFormatting sqref="A20:A21">
    <cfRule type="duplicateValues" dxfId="572" priority="3089"/>
    <cfRule type="duplicateValues" dxfId="571" priority="3163"/>
    <cfRule type="duplicateValues" dxfId="570" priority="3164"/>
    <cfRule type="duplicateValues" dxfId="569" priority="3165"/>
    <cfRule type="duplicateValues" dxfId="568" priority="3166"/>
    <cfRule type="duplicateValues" dxfId="567" priority="3167"/>
    <cfRule type="duplicateValues" dxfId="566" priority="3168"/>
    <cfRule type="duplicateValues" dxfId="565" priority="3169"/>
  </conditionalFormatting>
  <conditionalFormatting sqref="A21">
    <cfRule type="duplicateValues" dxfId="564" priority="3147"/>
    <cfRule type="duplicateValues" dxfId="563" priority="3148"/>
    <cfRule type="duplicateValues" dxfId="562" priority="3149"/>
    <cfRule type="duplicateValues" dxfId="561" priority="3150"/>
    <cfRule type="duplicateValues" dxfId="560" priority="3151"/>
    <cfRule type="duplicateValues" dxfId="559" priority="3152"/>
    <cfRule type="duplicateValues" dxfId="558" priority="3153"/>
    <cfRule type="duplicateValues" dxfId="557" priority="3154"/>
    <cfRule type="duplicateValues" dxfId="556" priority="3155"/>
    <cfRule type="duplicateValues" dxfId="555" priority="3156"/>
    <cfRule type="duplicateValues" dxfId="554" priority="3157"/>
    <cfRule type="duplicateValues" dxfId="553" priority="3158"/>
    <cfRule type="duplicateValues" dxfId="552" priority="3159"/>
    <cfRule type="duplicateValues" dxfId="551" priority="3160"/>
    <cfRule type="duplicateValues" dxfId="550" priority="3161"/>
    <cfRule type="duplicateValues" dxfId="549" priority="3162"/>
  </conditionalFormatting>
  <conditionalFormatting sqref="A22">
    <cfRule type="duplicateValues" dxfId="548" priority="2360"/>
    <cfRule type="duplicateValues" dxfId="547" priority="2362"/>
    <cfRule type="duplicateValues" dxfId="546" priority="2363"/>
    <cfRule type="duplicateValues" dxfId="545" priority="2364"/>
    <cfRule type="duplicateValues" dxfId="544" priority="2365"/>
    <cfRule type="duplicateValues" dxfId="543" priority="2366"/>
    <cfRule type="duplicateValues" dxfId="542" priority="2367"/>
    <cfRule type="duplicateValues" dxfId="541" priority="2368"/>
    <cfRule type="duplicateValues" dxfId="540" priority="2369"/>
    <cfRule type="duplicateValues" dxfId="539" priority="2370"/>
    <cfRule type="duplicateValues" dxfId="538" priority="2371"/>
    <cfRule type="duplicateValues" dxfId="537" priority="2372"/>
    <cfRule type="duplicateValues" dxfId="536" priority="2373"/>
    <cfRule type="duplicateValues" dxfId="535" priority="2374"/>
    <cfRule type="duplicateValues" dxfId="534" priority="2375"/>
    <cfRule type="duplicateValues" dxfId="533" priority="2376"/>
  </conditionalFormatting>
  <conditionalFormatting sqref="A22:A23">
    <cfRule type="duplicateValues" dxfId="532" priority="2361"/>
  </conditionalFormatting>
  <conditionalFormatting sqref="A22:A24">
    <cfRule type="duplicateValues" dxfId="531" priority="2359"/>
    <cfRule type="duplicateValues" dxfId="530" priority="2401"/>
    <cfRule type="duplicateValues" dxfId="529" priority="2402"/>
    <cfRule type="duplicateValues" dxfId="528" priority="2403"/>
    <cfRule type="duplicateValues" dxfId="527" priority="2404"/>
  </conditionalFormatting>
  <conditionalFormatting sqref="A23">
    <cfRule type="duplicateValues" dxfId="526" priority="2382"/>
    <cfRule type="duplicateValues" dxfId="525" priority="2383"/>
    <cfRule type="duplicateValues" dxfId="524" priority="2384"/>
    <cfRule type="duplicateValues" dxfId="523" priority="2385"/>
    <cfRule type="duplicateValues" dxfId="522" priority="2386"/>
    <cfRule type="duplicateValues" dxfId="521" priority="2387"/>
    <cfRule type="duplicateValues" dxfId="520" priority="2388"/>
    <cfRule type="duplicateValues" dxfId="519" priority="2389"/>
    <cfRule type="duplicateValues" dxfId="518" priority="2390"/>
    <cfRule type="duplicateValues" dxfId="517" priority="2391"/>
    <cfRule type="duplicateValues" dxfId="516" priority="2392"/>
    <cfRule type="duplicateValues" dxfId="515" priority="2393"/>
    <cfRule type="duplicateValues" dxfId="514" priority="2394"/>
    <cfRule type="duplicateValues" dxfId="513" priority="2395"/>
    <cfRule type="duplicateValues" dxfId="512" priority="2396"/>
    <cfRule type="duplicateValues" dxfId="511" priority="2397"/>
    <cfRule type="duplicateValues" dxfId="510" priority="2398"/>
    <cfRule type="duplicateValues" dxfId="509" priority="2399"/>
  </conditionalFormatting>
  <conditionalFormatting sqref="A24">
    <cfRule type="duplicateValues" dxfId="508" priority="2377"/>
    <cfRule type="duplicateValues" dxfId="507" priority="2378"/>
    <cfRule type="duplicateValues" dxfId="506" priority="2379"/>
    <cfRule type="duplicateValues" dxfId="505" priority="2380"/>
    <cfRule type="duplicateValues" dxfId="504" priority="2381"/>
    <cfRule type="duplicateValues" dxfId="503" priority="2400"/>
  </conditionalFormatting>
  <conditionalFormatting sqref="A25">
    <cfRule type="duplicateValues" dxfId="502" priority="2336"/>
    <cfRule type="duplicateValues" dxfId="501" priority="2337"/>
    <cfRule type="duplicateValues" dxfId="500" priority="2338"/>
    <cfRule type="duplicateValues" dxfId="499" priority="2339"/>
    <cfRule type="duplicateValues" dxfId="498" priority="2340"/>
    <cfRule type="duplicateValues" dxfId="497" priority="2341"/>
    <cfRule type="duplicateValues" dxfId="496" priority="2342"/>
    <cfRule type="duplicateValues" dxfId="495" priority="2343"/>
    <cfRule type="duplicateValues" dxfId="494" priority="2344"/>
    <cfRule type="duplicateValues" dxfId="493" priority="2345"/>
    <cfRule type="duplicateValues" dxfId="492" priority="2346"/>
    <cfRule type="duplicateValues" dxfId="491" priority="2347"/>
    <cfRule type="duplicateValues" dxfId="490" priority="2348"/>
    <cfRule type="duplicateValues" dxfId="489" priority="2349"/>
    <cfRule type="duplicateValues" dxfId="488" priority="2350"/>
    <cfRule type="duplicateValues" dxfId="487" priority="2351"/>
    <cfRule type="duplicateValues" dxfId="486" priority="2352"/>
    <cfRule type="duplicateValues" dxfId="485" priority="2353"/>
    <cfRule type="duplicateValues" dxfId="484" priority="2354"/>
    <cfRule type="duplicateValues" dxfId="483" priority="2355"/>
    <cfRule type="duplicateValues" dxfId="482" priority="2356"/>
    <cfRule type="duplicateValues" dxfId="481" priority="2357"/>
    <cfRule type="duplicateValues" dxfId="480" priority="2358"/>
  </conditionalFormatting>
  <conditionalFormatting sqref="D1:D4 D13 D15:D22 D24:D1048576 D6:D8">
    <cfRule type="duplicateValues" dxfId="479" priority="11462"/>
  </conditionalFormatting>
  <conditionalFormatting sqref="D3">
    <cfRule type="duplicateValues" dxfId="478" priority="5114"/>
    <cfRule type="duplicateValues" dxfId="477" priority="5116"/>
    <cfRule type="duplicateValues" dxfId="476" priority="5117"/>
    <cfRule type="duplicateValues" dxfId="475" priority="5118"/>
    <cfRule type="duplicateValues" dxfId="474" priority="5119"/>
    <cfRule type="duplicateValues" dxfId="473" priority="5120"/>
    <cfRule type="duplicateValues" dxfId="472" priority="5121"/>
    <cfRule type="duplicateValues" dxfId="471" priority="5122"/>
    <cfRule type="duplicateValues" dxfId="470" priority="5123"/>
    <cfRule type="duplicateValues" dxfId="469" priority="5124"/>
    <cfRule type="duplicateValues" dxfId="468" priority="5125"/>
    <cfRule type="duplicateValues" dxfId="467" priority="5126"/>
    <cfRule type="duplicateValues" dxfId="466" priority="5127"/>
    <cfRule type="duplicateValues" dxfId="465" priority="5128"/>
    <cfRule type="duplicateValues" dxfId="464" priority="5129"/>
    <cfRule type="duplicateValues" dxfId="463" priority="5130"/>
  </conditionalFormatting>
  <conditionalFormatting sqref="D3:D4 D6">
    <cfRule type="duplicateValues" dxfId="462" priority="11465"/>
  </conditionalFormatting>
  <conditionalFormatting sqref="D3:D4 D6:D7">
    <cfRule type="duplicateValues" dxfId="461" priority="11461"/>
    <cfRule type="duplicateValues" dxfId="460" priority="11463"/>
  </conditionalFormatting>
  <conditionalFormatting sqref="D3:D4 D6:D14">
    <cfRule type="duplicateValues" dxfId="459" priority="11487"/>
  </conditionalFormatting>
  <conditionalFormatting sqref="D3:D4 D7:D8 D13 D15:D22">
    <cfRule type="duplicateValues" dxfId="458" priority="11439"/>
  </conditionalFormatting>
  <conditionalFormatting sqref="D3:D4 G26:G28 D13 D6:D8">
    <cfRule type="duplicateValues" dxfId="457" priority="11464"/>
  </conditionalFormatting>
  <conditionalFormatting sqref="D3:D4">
    <cfRule type="duplicateValues" dxfId="456" priority="5115"/>
  </conditionalFormatting>
  <conditionalFormatting sqref="D3:D25 A9:A25">
    <cfRule type="duplicateValues" dxfId="455" priority="2405"/>
  </conditionalFormatting>
  <conditionalFormatting sqref="D3:D1048576 A9:A1048576">
    <cfRule type="duplicateValues" dxfId="454" priority="4607"/>
  </conditionalFormatting>
  <conditionalFormatting sqref="D4">
    <cfRule type="duplicateValues" dxfId="453" priority="5136"/>
    <cfRule type="duplicateValues" dxfId="452" priority="5137"/>
    <cfRule type="duplicateValues" dxfId="451" priority="5138"/>
    <cfRule type="duplicateValues" dxfId="450" priority="5139"/>
    <cfRule type="duplicateValues" dxfId="449" priority="5140"/>
    <cfRule type="duplicateValues" dxfId="448" priority="5141"/>
    <cfRule type="duplicateValues" dxfId="447" priority="5142"/>
    <cfRule type="duplicateValues" dxfId="446" priority="5143"/>
    <cfRule type="duplicateValues" dxfId="445" priority="5144"/>
    <cfRule type="duplicateValues" dxfId="444" priority="5145"/>
    <cfRule type="duplicateValues" dxfId="443" priority="5146"/>
    <cfRule type="duplicateValues" dxfId="442" priority="5147"/>
    <cfRule type="duplicateValues" dxfId="441" priority="5148"/>
    <cfRule type="duplicateValues" dxfId="440" priority="5149"/>
    <cfRule type="duplicateValues" dxfId="439" priority="5150"/>
    <cfRule type="duplicateValues" dxfId="438" priority="5151"/>
    <cfRule type="duplicateValues" dxfId="437" priority="5152"/>
    <cfRule type="duplicateValues" dxfId="436" priority="5153"/>
  </conditionalFormatting>
  <conditionalFormatting sqref="D5">
    <cfRule type="duplicateValues" dxfId="435" priority="263"/>
    <cfRule type="duplicateValues" dxfId="434" priority="264"/>
    <cfRule type="duplicateValues" dxfId="433" priority="265"/>
    <cfRule type="duplicateValues" dxfId="432" priority="266"/>
    <cfRule type="duplicateValues" dxfId="431" priority="267"/>
    <cfRule type="duplicateValues" dxfId="430" priority="268"/>
    <cfRule type="duplicateValues" dxfId="429" priority="269"/>
    <cfRule type="duplicateValues" dxfId="428" priority="270"/>
    <cfRule type="duplicateValues" dxfId="427" priority="271"/>
    <cfRule type="duplicateValues" dxfId="426" priority="272"/>
    <cfRule type="duplicateValues" dxfId="425" priority="273"/>
    <cfRule type="duplicateValues" dxfId="424" priority="274"/>
    <cfRule type="duplicateValues" dxfId="423" priority="275"/>
  </conditionalFormatting>
  <conditionalFormatting sqref="D6">
    <cfRule type="duplicateValues" dxfId="422" priority="6262"/>
    <cfRule type="duplicateValues" dxfId="421" priority="6263"/>
    <cfRule type="duplicateValues" dxfId="420" priority="6264"/>
    <cfRule type="duplicateValues" dxfId="419" priority="6265"/>
    <cfRule type="duplicateValues" dxfId="418" priority="6266"/>
    <cfRule type="duplicateValues" dxfId="417" priority="6267"/>
    <cfRule type="duplicateValues" dxfId="416" priority="6268"/>
    <cfRule type="duplicateValues" dxfId="415" priority="6269"/>
    <cfRule type="duplicateValues" dxfId="414" priority="6270"/>
    <cfRule type="duplicateValues" dxfId="413" priority="6271"/>
    <cfRule type="duplicateValues" dxfId="412" priority="6272"/>
    <cfRule type="duplicateValues" dxfId="411" priority="6273"/>
    <cfRule type="duplicateValues" dxfId="410" priority="6274"/>
    <cfRule type="duplicateValues" dxfId="409" priority="6275"/>
    <cfRule type="duplicateValues" dxfId="408" priority="6276"/>
    <cfRule type="duplicateValues" dxfId="407" priority="6277"/>
  </conditionalFormatting>
  <conditionalFormatting sqref="D6:D7">
    <cfRule type="duplicateValues" dxfId="406" priority="11440"/>
    <cfRule type="duplicateValues" dxfId="405" priority="11443"/>
  </conditionalFormatting>
  <conditionalFormatting sqref="D6:D8">
    <cfRule type="duplicateValues" dxfId="404" priority="11442"/>
    <cfRule type="duplicateValues" dxfId="403" priority="11444"/>
  </conditionalFormatting>
  <conditionalFormatting sqref="D7">
    <cfRule type="duplicateValues" dxfId="402" priority="7570"/>
    <cfRule type="duplicateValues" dxfId="401" priority="7571"/>
    <cfRule type="duplicateValues" dxfId="400" priority="7572"/>
    <cfRule type="duplicateValues" dxfId="399" priority="7573"/>
    <cfRule type="duplicateValues" dxfId="398" priority="7574"/>
    <cfRule type="duplicateValues" dxfId="397" priority="7575"/>
    <cfRule type="duplicateValues" dxfId="396" priority="7576"/>
    <cfRule type="duplicateValues" dxfId="395" priority="7577"/>
    <cfRule type="duplicateValues" dxfId="394" priority="7578"/>
    <cfRule type="duplicateValues" dxfId="393" priority="7579"/>
    <cfRule type="duplicateValues" dxfId="392" priority="7580"/>
    <cfRule type="duplicateValues" dxfId="391" priority="7581"/>
    <cfRule type="duplicateValues" dxfId="390" priority="7582"/>
    <cfRule type="duplicateValues" dxfId="389" priority="7583"/>
    <cfRule type="duplicateValues" dxfId="388" priority="7584"/>
  </conditionalFormatting>
  <conditionalFormatting sqref="D8">
    <cfRule type="duplicateValues" dxfId="387" priority="7750"/>
    <cfRule type="duplicateValues" dxfId="386" priority="7751"/>
    <cfRule type="duplicateValues" dxfId="385" priority="7752"/>
    <cfRule type="duplicateValues" dxfId="384" priority="7753"/>
    <cfRule type="duplicateValues" dxfId="383" priority="7754"/>
    <cfRule type="duplicateValues" dxfId="382" priority="7755"/>
    <cfRule type="duplicateValues" dxfId="381" priority="7756"/>
    <cfRule type="duplicateValues" dxfId="380" priority="7757"/>
    <cfRule type="duplicateValues" dxfId="379" priority="7758"/>
    <cfRule type="duplicateValues" dxfId="378" priority="7759"/>
    <cfRule type="duplicateValues" dxfId="377" priority="7760"/>
    <cfRule type="duplicateValues" dxfId="376" priority="7761"/>
    <cfRule type="duplicateValues" dxfId="375" priority="7762"/>
    <cfRule type="duplicateValues" dxfId="374" priority="7763"/>
    <cfRule type="duplicateValues" dxfId="373" priority="7764"/>
    <cfRule type="duplicateValues" dxfId="372" priority="7765"/>
    <cfRule type="duplicateValues" dxfId="371" priority="7766"/>
    <cfRule type="duplicateValues" dxfId="370" priority="7767"/>
  </conditionalFormatting>
  <conditionalFormatting sqref="D9:D12">
    <cfRule type="duplicateValues" dxfId="369" priority="2238"/>
    <cfRule type="duplicateValues" dxfId="368" priority="2239"/>
  </conditionalFormatting>
  <conditionalFormatting sqref="D10">
    <cfRule type="duplicateValues" dxfId="367" priority="2215"/>
    <cfRule type="duplicateValues" dxfId="366" priority="2216"/>
  </conditionalFormatting>
  <conditionalFormatting sqref="D10:D12">
    <cfRule type="duplicateValues" dxfId="365" priority="2233"/>
  </conditionalFormatting>
  <conditionalFormatting sqref="D10:D16 A20:A25 D18:D24 D3:D8 A9:A18">
    <cfRule type="duplicateValues" dxfId="364" priority="9344"/>
    <cfRule type="duplicateValues" dxfId="363" priority="11389"/>
  </conditionalFormatting>
  <conditionalFormatting sqref="D11">
    <cfRule type="duplicateValues" dxfId="362" priority="2217"/>
    <cfRule type="duplicateValues" dxfId="361" priority="2218"/>
    <cfRule type="duplicateValues" dxfId="360" priority="2219"/>
    <cfRule type="duplicateValues" dxfId="359" priority="2220"/>
    <cfRule type="duplicateValues" dxfId="358" priority="2221"/>
    <cfRule type="duplicateValues" dxfId="357" priority="2222"/>
    <cfRule type="duplicateValues" dxfId="356" priority="2223"/>
    <cfRule type="duplicateValues" dxfId="355" priority="2224"/>
    <cfRule type="duplicateValues" dxfId="354" priority="2225"/>
    <cfRule type="duplicateValues" dxfId="353" priority="2226"/>
    <cfRule type="duplicateValues" dxfId="352" priority="2227"/>
    <cfRule type="duplicateValues" dxfId="351" priority="2228"/>
    <cfRule type="duplicateValues" dxfId="350" priority="2229"/>
  </conditionalFormatting>
  <conditionalFormatting sqref="D12">
    <cfRule type="duplicateValues" dxfId="349" priority="2213"/>
    <cfRule type="duplicateValues" dxfId="348" priority="2214"/>
    <cfRule type="duplicateValues" dxfId="347" priority="2230"/>
    <cfRule type="duplicateValues" dxfId="346" priority="2231"/>
    <cfRule type="duplicateValues" dxfId="345" priority="2232"/>
    <cfRule type="duplicateValues" dxfId="344" priority="2234"/>
    <cfRule type="duplicateValues" dxfId="343" priority="2235"/>
    <cfRule type="duplicateValues" dxfId="342" priority="2236"/>
    <cfRule type="duplicateValues" dxfId="341" priority="2237"/>
  </conditionalFormatting>
  <conditionalFormatting sqref="D13">
    <cfRule type="duplicateValues" dxfId="340" priority="3654"/>
    <cfRule type="duplicateValues" dxfId="339" priority="3655"/>
    <cfRule type="duplicateValues" dxfId="338" priority="3656"/>
    <cfRule type="duplicateValues" dxfId="337" priority="3657"/>
    <cfRule type="duplicateValues" dxfId="336" priority="3658"/>
    <cfRule type="duplicateValues" dxfId="335" priority="3659"/>
    <cfRule type="duplicateValues" dxfId="334" priority="3660"/>
    <cfRule type="duplicateValues" dxfId="333" priority="3661"/>
    <cfRule type="duplicateValues" dxfId="332" priority="3662"/>
    <cfRule type="duplicateValues" dxfId="331" priority="3663"/>
    <cfRule type="duplicateValues" dxfId="330" priority="3664"/>
    <cfRule type="duplicateValues" dxfId="329" priority="3665"/>
    <cfRule type="duplicateValues" dxfId="328" priority="3666"/>
    <cfRule type="duplicateValues" dxfId="327" priority="3667"/>
    <cfRule type="duplicateValues" dxfId="326" priority="3668"/>
    <cfRule type="duplicateValues" dxfId="325" priority="3669"/>
    <cfRule type="duplicateValues" dxfId="324" priority="3670"/>
    <cfRule type="duplicateValues" dxfId="323" priority="3671"/>
    <cfRule type="duplicateValues" dxfId="322" priority="3672"/>
    <cfRule type="duplicateValues" dxfId="321" priority="3673"/>
    <cfRule type="duplicateValues" dxfId="320" priority="3674"/>
  </conditionalFormatting>
  <conditionalFormatting sqref="D14">
    <cfRule type="duplicateValues" dxfId="319" priority="3437"/>
    <cfRule type="duplicateValues" dxfId="318" priority="3438"/>
    <cfRule type="duplicateValues" dxfId="317" priority="3439"/>
    <cfRule type="duplicateValues" dxfId="316" priority="3440"/>
    <cfRule type="duplicateValues" dxfId="315" priority="3441"/>
    <cfRule type="duplicateValues" dxfId="314" priority="3442"/>
    <cfRule type="duplicateValues" dxfId="313" priority="3443"/>
    <cfRule type="duplicateValues" dxfId="312" priority="3444"/>
    <cfRule type="duplicateValues" dxfId="311" priority="3445"/>
    <cfRule type="duplicateValues" dxfId="310" priority="3446"/>
    <cfRule type="duplicateValues" dxfId="309" priority="3447"/>
    <cfRule type="duplicateValues" dxfId="308" priority="3448"/>
    <cfRule type="duplicateValues" dxfId="307" priority="3449"/>
    <cfRule type="duplicateValues" dxfId="306" priority="3450"/>
    <cfRule type="duplicateValues" dxfId="305" priority="3451"/>
    <cfRule type="duplicateValues" dxfId="304" priority="3452"/>
    <cfRule type="duplicateValues" dxfId="303" priority="3453"/>
    <cfRule type="duplicateValues" dxfId="302" priority="3454"/>
    <cfRule type="duplicateValues" dxfId="301" priority="3455"/>
    <cfRule type="duplicateValues" dxfId="300" priority="3456"/>
    <cfRule type="duplicateValues" dxfId="299" priority="3457"/>
  </conditionalFormatting>
  <conditionalFormatting sqref="D15:D16">
    <cfRule type="duplicateValues" dxfId="298" priority="6239"/>
    <cfRule type="duplicateValues" dxfId="297" priority="6240"/>
    <cfRule type="duplicateValues" dxfId="296" priority="6241"/>
    <cfRule type="duplicateValues" dxfId="295" priority="6242"/>
    <cfRule type="duplicateValues" dxfId="294" priority="6243"/>
  </conditionalFormatting>
  <conditionalFormatting sqref="D16">
    <cfRule type="duplicateValues" dxfId="293" priority="6230"/>
    <cfRule type="duplicateValues" dxfId="292" priority="6231"/>
    <cfRule type="duplicateValues" dxfId="291" priority="6232"/>
    <cfRule type="duplicateValues" dxfId="290" priority="6233"/>
    <cfRule type="duplicateValues" dxfId="289" priority="6234"/>
    <cfRule type="duplicateValues" dxfId="288" priority="6235"/>
    <cfRule type="duplicateValues" dxfId="287" priority="6236"/>
    <cfRule type="duplicateValues" dxfId="286" priority="6237"/>
    <cfRule type="duplicateValues" dxfId="285" priority="6238"/>
  </conditionalFormatting>
  <conditionalFormatting sqref="D18">
    <cfRule type="duplicateValues" dxfId="284" priority="8640"/>
    <cfRule type="duplicateValues" dxfId="283" priority="8641"/>
  </conditionalFormatting>
  <conditionalFormatting sqref="D19">
    <cfRule type="duplicateValues" dxfId="282" priority="8642"/>
    <cfRule type="duplicateValues" dxfId="281" priority="8643"/>
    <cfRule type="duplicateValues" dxfId="280" priority="8644"/>
    <cfRule type="duplicateValues" dxfId="279" priority="8645"/>
    <cfRule type="duplicateValues" dxfId="278" priority="8646"/>
    <cfRule type="duplicateValues" dxfId="277" priority="8647"/>
    <cfRule type="duplicateValues" dxfId="276" priority="8648"/>
    <cfRule type="duplicateValues" dxfId="275" priority="8649"/>
    <cfRule type="duplicateValues" dxfId="274" priority="8650"/>
    <cfRule type="duplicateValues" dxfId="273" priority="8651"/>
    <cfRule type="duplicateValues" dxfId="272" priority="8652"/>
    <cfRule type="duplicateValues" dxfId="271" priority="8653"/>
    <cfRule type="duplicateValues" dxfId="270" priority="8654"/>
  </conditionalFormatting>
  <conditionalFormatting sqref="D20">
    <cfRule type="duplicateValues" dxfId="269" priority="7271"/>
    <cfRule type="duplicateValues" dxfId="268" priority="7272"/>
  </conditionalFormatting>
  <conditionalFormatting sqref="D20:D22">
    <cfRule type="duplicateValues" dxfId="267" priority="10209"/>
    <cfRule type="duplicateValues" dxfId="266" priority="11353"/>
    <cfRule type="duplicateValues" dxfId="265" priority="11355"/>
    <cfRule type="duplicateValues" dxfId="264" priority="11379"/>
    <cfRule type="duplicateValues" dxfId="263" priority="11383"/>
    <cfRule type="duplicateValues" dxfId="262" priority="11422"/>
    <cfRule type="duplicateValues" dxfId="261" priority="11423"/>
  </conditionalFormatting>
  <conditionalFormatting sqref="D22 D18:D20 D15:D16">
    <cfRule type="duplicateValues" dxfId="260" priority="11358"/>
  </conditionalFormatting>
  <conditionalFormatting sqref="D22">
    <cfRule type="duplicateValues" dxfId="259" priority="11370"/>
  </conditionalFormatting>
  <conditionalFormatting sqref="D23">
    <cfRule type="duplicateValues" dxfId="258" priority="3036"/>
    <cfRule type="duplicateValues" dxfId="257" priority="3037"/>
    <cfRule type="duplicateValues" dxfId="256" priority="3038"/>
    <cfRule type="duplicateValues" dxfId="255" priority="3039"/>
    <cfRule type="duplicateValues" dxfId="254" priority="3040"/>
  </conditionalFormatting>
  <conditionalFormatting sqref="D24">
    <cfRule type="duplicateValues" dxfId="253" priority="596"/>
    <cfRule type="duplicateValues" dxfId="252" priority="597"/>
    <cfRule type="duplicateValues" dxfId="251" priority="598"/>
    <cfRule type="duplicateValues" dxfId="250" priority="599"/>
    <cfRule type="duplicateValues" dxfId="249" priority="600"/>
    <cfRule type="duplicateValues" dxfId="248" priority="601"/>
    <cfRule type="duplicateValues" dxfId="247" priority="602"/>
    <cfRule type="duplicateValues" dxfId="246" priority="603"/>
    <cfRule type="duplicateValues" dxfId="245" priority="604"/>
    <cfRule type="duplicateValues" dxfId="244" priority="605"/>
    <cfRule type="duplicateValues" dxfId="243" priority="606"/>
    <cfRule type="duplicateValues" dxfId="242" priority="607"/>
  </conditionalFormatting>
  <conditionalFormatting sqref="D28:D1048576 D10:D16 A20:A25 D18:D26 D3:D8 A9:A18">
    <cfRule type="duplicateValues" dxfId="241" priority="10744"/>
  </conditionalFormatting>
  <conditionalFormatting sqref="D28:D1048576 D22 A26:A1048576 D25:D26">
    <cfRule type="duplicateValues" dxfId="240" priority="11149"/>
  </conditionalFormatting>
  <conditionalFormatting sqref="F1 C3:C19">
    <cfRule type="duplicateValues" dxfId="239" priority="11413"/>
  </conditionalFormatting>
  <conditionalFormatting sqref="G18">
    <cfRule type="duplicateValues" dxfId="238" priority="1902"/>
    <cfRule type="duplicateValues" dxfId="237" priority="1903"/>
    <cfRule type="duplicateValues" dxfId="236" priority="1904"/>
    <cfRule type="duplicateValues" dxfId="235" priority="1905"/>
    <cfRule type="duplicateValues" dxfId="234" priority="1906"/>
    <cfRule type="duplicateValues" dxfId="233" priority="1907"/>
    <cfRule type="duplicateValues" dxfId="232" priority="1908"/>
    <cfRule type="duplicateValues" dxfId="231" priority="1909"/>
    <cfRule type="duplicateValues" dxfId="230" priority="1910"/>
    <cfRule type="duplicateValues" dxfId="229" priority="1911"/>
    <cfRule type="duplicateValues" dxfId="228" priority="1912"/>
    <cfRule type="duplicateValues" dxfId="227" priority="1913"/>
    <cfRule type="duplicateValues" dxfId="226" priority="1914"/>
    <cfRule type="duplicateValues" dxfId="225" priority="1915"/>
    <cfRule type="duplicateValues" dxfId="224" priority="1916"/>
    <cfRule type="duplicateValues" dxfId="223" priority="1939"/>
    <cfRule type="duplicateValues" dxfId="222" priority="1941"/>
    <cfRule type="duplicateValues" dxfId="221" priority="1943"/>
    <cfRule type="duplicateValues" dxfId="220" priority="1945"/>
  </conditionalFormatting>
  <conditionalFormatting sqref="G18:G19">
    <cfRule type="duplicateValues" dxfId="219" priority="1935"/>
    <cfRule type="duplicateValues" dxfId="218" priority="1936"/>
    <cfRule type="duplicateValues" dxfId="217" priority="1937"/>
    <cfRule type="duplicateValues" dxfId="216" priority="1938"/>
    <cfRule type="duplicateValues" dxfId="215" priority="1940"/>
    <cfRule type="duplicateValues" dxfId="214" priority="1942"/>
    <cfRule type="duplicateValues" dxfId="213" priority="1944"/>
    <cfRule type="duplicateValues" dxfId="212" priority="1946"/>
  </conditionalFormatting>
  <conditionalFormatting sqref="G18:G20 G23">
    <cfRule type="duplicateValues" dxfId="211" priority="1900"/>
    <cfRule type="duplicateValues" dxfId="210" priority="1901"/>
  </conditionalFormatting>
  <conditionalFormatting sqref="G19">
    <cfRule type="duplicateValues" dxfId="209" priority="1917"/>
    <cfRule type="duplicateValues" dxfId="208" priority="1918"/>
    <cfRule type="duplicateValues" dxfId="207" priority="1919"/>
    <cfRule type="duplicateValues" dxfId="206" priority="1920"/>
    <cfRule type="duplicateValues" dxfId="205" priority="1921"/>
    <cfRule type="duplicateValues" dxfId="204" priority="1922"/>
    <cfRule type="duplicateValues" dxfId="203" priority="1923"/>
    <cfRule type="duplicateValues" dxfId="202" priority="1924"/>
    <cfRule type="duplicateValues" dxfId="201" priority="1925"/>
    <cfRule type="duplicateValues" dxfId="200" priority="1926"/>
    <cfRule type="duplicateValues" dxfId="199" priority="1927"/>
    <cfRule type="duplicateValues" dxfId="198" priority="1928"/>
    <cfRule type="duplicateValues" dxfId="197" priority="1929"/>
    <cfRule type="duplicateValues" dxfId="196" priority="1930"/>
    <cfRule type="duplicateValues" dxfId="195" priority="1931"/>
    <cfRule type="duplicateValues" dxfId="194" priority="1932"/>
    <cfRule type="duplicateValues" dxfId="193" priority="1933"/>
    <cfRule type="duplicateValues" dxfId="192" priority="1934"/>
  </conditionalFormatting>
  <conditionalFormatting sqref="G20 G23">
    <cfRule type="duplicateValues" dxfId="191" priority="1898"/>
    <cfRule type="duplicateValues" dxfId="190" priority="1899"/>
  </conditionalFormatting>
  <conditionalFormatting sqref="G26:G43">
    <cfRule type="duplicateValues" dxfId="189" priority="11485"/>
    <cfRule type="duplicateValues" dxfId="188" priority="11486"/>
  </conditionalFormatting>
  <conditionalFormatting sqref="G28">
    <cfRule type="duplicateValues" dxfId="187" priority="11438"/>
  </conditionalFormatting>
  <conditionalFormatting sqref="I8">
    <cfRule type="duplicateValues" dxfId="186" priority="1769"/>
    <cfRule type="duplicateValues" dxfId="185" priority="1770"/>
    <cfRule type="duplicateValues" dxfId="184" priority="1771"/>
    <cfRule type="duplicateValues" dxfId="183" priority="1772"/>
  </conditionalFormatting>
  <conditionalFormatting sqref="I9">
    <cfRule type="duplicateValues" dxfId="182" priority="1005"/>
    <cfRule type="duplicateValues" dxfId="181" priority="1006"/>
    <cfRule type="duplicateValues" dxfId="180" priority="1007"/>
    <cfRule type="duplicateValues" dxfId="179" priority="1008"/>
    <cfRule type="duplicateValues" dxfId="178" priority="1009"/>
    <cfRule type="duplicateValues" dxfId="177" priority="1010"/>
    <cfRule type="duplicateValues" dxfId="176" priority="1011"/>
    <cfRule type="duplicateValues" dxfId="175" priority="1012"/>
    <cfRule type="duplicateValues" dxfId="174" priority="1013"/>
    <cfRule type="duplicateValues" dxfId="173" priority="1014"/>
    <cfRule type="duplicateValues" dxfId="172" priority="1015"/>
    <cfRule type="duplicateValues" dxfId="171" priority="1016"/>
    <cfRule type="duplicateValues" dxfId="170" priority="1017"/>
    <cfRule type="duplicateValues" dxfId="169" priority="1018"/>
    <cfRule type="duplicateValues" dxfId="168" priority="1019"/>
    <cfRule type="duplicateValues" dxfId="167" priority="1020"/>
    <cfRule type="duplicateValues" dxfId="166" priority="1021"/>
    <cfRule type="duplicateValues" dxfId="165" priority="1022"/>
    <cfRule type="duplicateValues" dxfId="164" priority="1023"/>
    <cfRule type="duplicateValues" dxfId="163" priority="1024"/>
    <cfRule type="duplicateValues" dxfId="162" priority="1025"/>
  </conditionalFormatting>
  <conditionalFormatting sqref="I10">
    <cfRule type="duplicateValues" dxfId="161" priority="461"/>
    <cfRule type="duplicateValues" dxfId="160" priority="462"/>
    <cfRule type="duplicateValues" dxfId="159" priority="463"/>
    <cfRule type="duplicateValues" dxfId="158" priority="464"/>
  </conditionalFormatting>
  <conditionalFormatting sqref="I11">
    <cfRule type="duplicateValues" dxfId="157" priority="4942"/>
    <cfRule type="duplicateValues" dxfId="156" priority="4943"/>
    <cfRule type="duplicateValues" dxfId="155" priority="4944"/>
    <cfRule type="duplicateValues" dxfId="154" priority="4945"/>
    <cfRule type="duplicateValues" dxfId="153" priority="4946"/>
    <cfRule type="duplicateValues" dxfId="152" priority="4947"/>
    <cfRule type="duplicateValues" dxfId="151" priority="4948"/>
    <cfRule type="duplicateValues" dxfId="150" priority="4949"/>
    <cfRule type="duplicateValues" dxfId="149" priority="4950"/>
    <cfRule type="duplicateValues" dxfId="148" priority="4951"/>
    <cfRule type="duplicateValues" dxfId="147" priority="4952"/>
    <cfRule type="duplicateValues" dxfId="146" priority="4953"/>
    <cfRule type="duplicateValues" dxfId="145" priority="4954"/>
    <cfRule type="duplicateValues" dxfId="144" priority="4955"/>
    <cfRule type="duplicateValues" dxfId="143" priority="4956"/>
    <cfRule type="duplicateValues" dxfId="142" priority="4957"/>
    <cfRule type="duplicateValues" dxfId="141" priority="4958"/>
    <cfRule type="duplicateValues" dxfId="140" priority="4959"/>
    <cfRule type="duplicateValues" dxfId="139" priority="4960"/>
    <cfRule type="duplicateValues" dxfId="138" priority="4961"/>
    <cfRule type="duplicateValues" dxfId="137" priority="4962"/>
    <cfRule type="duplicateValues" dxfId="136" priority="4963"/>
    <cfRule type="duplicateValues" dxfId="135" priority="4964"/>
    <cfRule type="duplicateValues" dxfId="134" priority="4965"/>
    <cfRule type="duplicateValues" dxfId="133" priority="4966"/>
  </conditionalFormatting>
  <conditionalFormatting sqref="J5">
    <cfRule type="duplicateValues" dxfId="132" priority="11133"/>
    <cfRule type="duplicateValues" dxfId="131" priority="11134"/>
  </conditionalFormatting>
  <conditionalFormatting sqref="K19:K20">
    <cfRule type="duplicateValues" dxfId="130" priority="9422"/>
    <cfRule type="duplicateValues" dxfId="129" priority="9423"/>
  </conditionalFormatting>
  <conditionalFormatting sqref="K24:K25">
    <cfRule type="duplicateValues" dxfId="128" priority="5336"/>
    <cfRule type="duplicateValues" dxfId="127" priority="5343"/>
  </conditionalFormatting>
  <conditionalFormatting sqref="K25">
    <cfRule type="duplicateValues" dxfId="126" priority="5337"/>
    <cfRule type="duplicateValues" dxfId="125" priority="5338"/>
    <cfRule type="duplicateValues" dxfId="124" priority="5339"/>
    <cfRule type="duplicateValues" dxfId="123" priority="5340"/>
    <cfRule type="duplicateValues" dxfId="122" priority="5341"/>
    <cfRule type="duplicateValues" dxfId="121" priority="5342"/>
  </conditionalFormatting>
  <conditionalFormatting sqref="V10:V13 Y10:Y12 AD10:AD13 AG10:AG13">
    <cfRule type="duplicateValues" dxfId="120" priority="262"/>
  </conditionalFormatting>
  <conditionalFormatting sqref="AD10:AD13 V10:V14">
    <cfRule type="duplicateValues" dxfId="119" priority="11488"/>
  </conditionalFormatting>
  <conditionalFormatting sqref="AD11">
    <cfRule type="duplicateValues" dxfId="118" priority="393"/>
    <cfRule type="duplicateValues" dxfId="117" priority="394"/>
  </conditionalFormatting>
  <conditionalFormatting sqref="AD12">
    <cfRule type="duplicateValues" dxfId="116" priority="391"/>
    <cfRule type="duplicateValues" dxfId="115" priority="392"/>
  </conditionalFormatting>
  <conditionalFormatting sqref="AD13">
    <cfRule type="duplicateValues" dxfId="114" priority="389"/>
    <cfRule type="duplicateValues" dxfId="113" priority="390"/>
  </conditionalFormatting>
  <conditionalFormatting sqref="A6:A8">
    <cfRule type="duplicateValues" dxfId="112" priority="233"/>
  </conditionalFormatting>
  <conditionalFormatting sqref="A6">
    <cfRule type="duplicateValues" dxfId="111" priority="236"/>
  </conditionalFormatting>
  <conditionalFormatting sqref="A6:A8">
    <cfRule type="duplicateValues" dxfId="110" priority="232"/>
    <cfRule type="duplicateValues" dxfId="109" priority="234"/>
  </conditionalFormatting>
  <conditionalFormatting sqref="A6:A8">
    <cfRule type="duplicateValues" dxfId="108" priority="237"/>
  </conditionalFormatting>
  <conditionalFormatting sqref="A7:A8">
    <cfRule type="duplicateValues" dxfId="107" priority="227"/>
  </conditionalFormatting>
  <conditionalFormatting sqref="A6:A8">
    <cfRule type="duplicateValues" dxfId="106" priority="235"/>
  </conditionalFormatting>
  <conditionalFormatting sqref="A5:A8">
    <cfRule type="duplicateValues" dxfId="105" priority="191"/>
  </conditionalFormatting>
  <conditionalFormatting sqref="A5:A8">
    <cfRule type="duplicateValues" dxfId="104" priority="192"/>
  </conditionalFormatting>
  <conditionalFormatting sqref="A5">
    <cfRule type="duplicateValues" dxfId="103" priority="178"/>
    <cfRule type="duplicateValues" dxfId="102" priority="179"/>
    <cfRule type="duplicateValues" dxfId="101" priority="180"/>
    <cfRule type="duplicateValues" dxfId="100" priority="181"/>
    <cfRule type="duplicateValues" dxfId="99" priority="182"/>
    <cfRule type="duplicateValues" dxfId="98" priority="183"/>
    <cfRule type="duplicateValues" dxfId="97" priority="184"/>
    <cfRule type="duplicateValues" dxfId="96" priority="185"/>
    <cfRule type="duplicateValues" dxfId="95" priority="186"/>
    <cfRule type="duplicateValues" dxfId="94" priority="187"/>
    <cfRule type="duplicateValues" dxfId="93" priority="188"/>
    <cfRule type="duplicateValues" dxfId="92" priority="189"/>
    <cfRule type="duplicateValues" dxfId="91" priority="190"/>
  </conditionalFormatting>
  <conditionalFormatting sqref="A6">
    <cfRule type="duplicateValues" dxfId="90" priority="193"/>
    <cfRule type="duplicateValues" dxfId="89" priority="194"/>
    <cfRule type="duplicateValues" dxfId="88" priority="195"/>
    <cfRule type="duplicateValues" dxfId="87" priority="196"/>
    <cfRule type="duplicateValues" dxfId="86" priority="197"/>
    <cfRule type="duplicateValues" dxfId="85" priority="198"/>
    <cfRule type="duplicateValues" dxfId="84" priority="199"/>
    <cfRule type="duplicateValues" dxfId="83" priority="200"/>
    <cfRule type="duplicateValues" dxfId="82" priority="201"/>
    <cfRule type="duplicateValues" dxfId="81" priority="202"/>
    <cfRule type="duplicateValues" dxfId="80" priority="203"/>
    <cfRule type="duplicateValues" dxfId="79" priority="204"/>
    <cfRule type="duplicateValues" dxfId="78" priority="205"/>
    <cfRule type="duplicateValues" dxfId="77" priority="206"/>
    <cfRule type="duplicateValues" dxfId="76" priority="207"/>
    <cfRule type="duplicateValues" dxfId="75" priority="208"/>
  </conditionalFormatting>
  <conditionalFormatting sqref="A6:A8">
    <cfRule type="duplicateValues" dxfId="74" priority="228"/>
    <cfRule type="duplicateValues" dxfId="73" priority="230"/>
  </conditionalFormatting>
  <conditionalFormatting sqref="A6:A8">
    <cfRule type="duplicateValues" dxfId="72" priority="229"/>
    <cfRule type="duplicateValues" dxfId="71" priority="231"/>
  </conditionalFormatting>
  <conditionalFormatting sqref="A7:A8">
    <cfRule type="duplicateValues" dxfId="70" priority="209"/>
    <cfRule type="duplicateValues" dxfId="69" priority="210"/>
    <cfRule type="duplicateValues" dxfId="68" priority="211"/>
    <cfRule type="duplicateValues" dxfId="67" priority="212"/>
    <cfRule type="duplicateValues" dxfId="66" priority="213"/>
    <cfRule type="duplicateValues" dxfId="65" priority="214"/>
    <cfRule type="duplicateValues" dxfId="64" priority="215"/>
    <cfRule type="duplicateValues" dxfId="63" priority="216"/>
    <cfRule type="duplicateValues" dxfId="62" priority="217"/>
    <cfRule type="duplicateValues" dxfId="61" priority="218"/>
    <cfRule type="duplicateValues" dxfId="60" priority="219"/>
    <cfRule type="duplicateValues" dxfId="59" priority="220"/>
    <cfRule type="duplicateValues" dxfId="58" priority="221"/>
    <cfRule type="duplicateValues" dxfId="57" priority="222"/>
    <cfRule type="duplicateValues" dxfId="56" priority="223"/>
  </conditionalFormatting>
  <conditionalFormatting sqref="A5:A8">
    <cfRule type="duplicateValues" dxfId="55" priority="224"/>
    <cfRule type="duplicateValues" dxfId="54" priority="226"/>
  </conditionalFormatting>
  <conditionalFormatting sqref="A5:A8">
    <cfRule type="duplicateValues" dxfId="53" priority="225"/>
  </conditionalFormatting>
  <conditionalFormatting sqref="D3:D1048576 A5:A1048576">
    <cfRule type="duplicateValues" dxfId="52" priority="148"/>
  </conditionalFormatting>
  <conditionalFormatting sqref="D3:D25 A5:A25">
    <cfRule type="duplicateValues" dxfId="51" priority="85"/>
  </conditionalFormatting>
  <conditionalFormatting sqref="A3:A4">
    <cfRule type="duplicateValues" dxfId="50" priority="47"/>
  </conditionalFormatting>
  <conditionalFormatting sqref="A3">
    <cfRule type="duplicateValues" dxfId="49" priority="7"/>
    <cfRule type="duplicateValues" dxfId="48" priority="9"/>
    <cfRule type="duplicateValues" dxfId="47" priority="10"/>
    <cfRule type="duplicateValues" dxfId="46" priority="11"/>
    <cfRule type="duplicateValues" dxfId="45" priority="12"/>
    <cfRule type="duplicateValues" dxfId="44" priority="13"/>
    <cfRule type="duplicateValues" dxfId="43" priority="14"/>
    <cfRule type="duplicateValues" dxfId="42" priority="15"/>
    <cfRule type="duplicateValues" dxfId="41" priority="16"/>
    <cfRule type="duplicateValues" dxfId="40" priority="17"/>
    <cfRule type="duplicateValues" dxfId="39" priority="18"/>
    <cfRule type="duplicateValues" dxfId="38" priority="19"/>
    <cfRule type="duplicateValues" dxfId="37" priority="20"/>
    <cfRule type="duplicateValues" dxfId="36" priority="21"/>
    <cfRule type="duplicateValues" dxfId="35" priority="22"/>
    <cfRule type="duplicateValues" dxfId="34" priority="23"/>
  </conditionalFormatting>
  <conditionalFormatting sqref="A3:A4">
    <cfRule type="duplicateValues" dxfId="33" priority="50"/>
  </conditionalFormatting>
  <conditionalFormatting sqref="A3:A4">
    <cfRule type="duplicateValues" dxfId="32" priority="46"/>
    <cfRule type="duplicateValues" dxfId="31" priority="48"/>
  </conditionalFormatting>
  <conditionalFormatting sqref="A3:A4">
    <cfRule type="duplicateValues" dxfId="30" priority="51"/>
  </conditionalFormatting>
  <conditionalFormatting sqref="A3:A4">
    <cfRule type="duplicateValues" dxfId="29" priority="45"/>
  </conditionalFormatting>
  <conditionalFormatting sqref="A3:A4">
    <cfRule type="duplicateValues" dxfId="28" priority="49"/>
  </conditionalFormatting>
  <conditionalFormatting sqref="A3:A4">
    <cfRule type="duplicateValues" dxfId="27" priority="8"/>
  </conditionalFormatting>
  <conditionalFormatting sqref="A3:A4">
    <cfRule type="duplicateValues" dxfId="26" priority="5"/>
  </conditionalFormatting>
  <conditionalFormatting sqref="A3:A4">
    <cfRule type="duplicateValues" dxfId="25" priority="6"/>
  </conditionalFormatting>
  <conditionalFormatting sqref="A4">
    <cfRule type="duplicateValues" dxfId="24" priority="24"/>
    <cfRule type="duplicateValues" dxfId="23" priority="25"/>
    <cfRule type="duplicateValues" dxfId="22" priority="26"/>
    <cfRule type="duplicateValues" dxfId="21" priority="27"/>
    <cfRule type="duplicateValues" dxfId="20" priority="28"/>
    <cfRule type="duplicateValues" dxfId="19" priority="29"/>
    <cfRule type="duplicateValues" dxfId="18" priority="30"/>
    <cfRule type="duplicateValues" dxfId="17" priority="31"/>
    <cfRule type="duplicateValues" dxfId="16" priority="32"/>
    <cfRule type="duplicateValues" dxfId="15" priority="33"/>
    <cfRule type="duplicateValues" dxfId="14" priority="34"/>
    <cfRule type="duplicateValues" dxfId="13" priority="35"/>
    <cfRule type="duplicateValues" dxfId="12" priority="36"/>
    <cfRule type="duplicateValues" dxfId="11" priority="37"/>
    <cfRule type="duplicateValues" dxfId="10" priority="38"/>
    <cfRule type="duplicateValues" dxfId="9" priority="39"/>
    <cfRule type="duplicateValues" dxfId="8" priority="40"/>
    <cfRule type="duplicateValues" dxfId="7" priority="41"/>
  </conditionalFormatting>
  <conditionalFormatting sqref="A3:A4">
    <cfRule type="duplicateValues" dxfId="6" priority="42"/>
    <cfRule type="duplicateValues" dxfId="5" priority="44"/>
  </conditionalFormatting>
  <conditionalFormatting sqref="A3:A4">
    <cfRule type="duplicateValues" dxfId="4" priority="43"/>
  </conditionalFormatting>
  <conditionalFormatting sqref="A3:A4">
    <cfRule type="duplicateValues" dxfId="3" priority="4"/>
  </conditionalFormatting>
  <conditionalFormatting sqref="A3:A4">
    <cfRule type="duplicateValues" dxfId="2" priority="3"/>
  </conditionalFormatting>
  <conditionalFormatting sqref="D3:D25 A3:A25">
    <cfRule type="duplicateValues" dxfId="1" priority="2"/>
  </conditionalFormatting>
  <conditionalFormatting sqref="J18:J25">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CF005-3219-4984-809E-A4A2ACB09A5D}">
  <dimension ref="A1:V40"/>
  <sheetViews>
    <sheetView topLeftCell="J1" workbookViewId="0">
      <selection activeCell="V8" sqref="T8:V10"/>
    </sheetView>
  </sheetViews>
  <sheetFormatPr defaultRowHeight="15"/>
  <cols>
    <col min="1" max="1" width="16" bestFit="1" customWidth="1"/>
    <col min="2" max="2" width="21.42578125" bestFit="1" customWidth="1"/>
    <col min="3" max="3" width="21.42578125" customWidth="1"/>
    <col min="4" max="4" width="10.7109375" bestFit="1" customWidth="1"/>
    <col min="5" max="5" width="14.28515625" bestFit="1" customWidth="1"/>
    <col min="6" max="6" width="16.140625" bestFit="1" customWidth="1"/>
    <col min="7" max="7" width="8.42578125" bestFit="1" customWidth="1"/>
    <col min="12" max="12" width="13.85546875" bestFit="1" customWidth="1"/>
    <col min="16" max="16" width="14.140625" bestFit="1" customWidth="1"/>
    <col min="17" max="17" width="13.85546875" bestFit="1" customWidth="1"/>
    <col min="18" max="18" width="8.42578125" bestFit="1" customWidth="1"/>
    <col min="20" max="20" width="10.7109375" bestFit="1" customWidth="1"/>
    <col min="21" max="21" width="11.42578125" bestFit="1" customWidth="1"/>
    <col min="22" max="22" width="24.5703125" bestFit="1" customWidth="1"/>
  </cols>
  <sheetData>
    <row r="1" spans="1:22">
      <c r="A1" s="62" t="s">
        <v>4869</v>
      </c>
      <c r="B1" s="62" t="s">
        <v>4871</v>
      </c>
      <c r="C1" s="62"/>
      <c r="D1" s="3" t="s">
        <v>4581</v>
      </c>
      <c r="E1" s="62" t="s">
        <v>4872</v>
      </c>
      <c r="F1" s="62" t="s">
        <v>142</v>
      </c>
      <c r="G1" s="62" t="s">
        <v>20</v>
      </c>
      <c r="L1" s="62" t="s">
        <v>4556</v>
      </c>
      <c r="M1" t="s">
        <v>18</v>
      </c>
      <c r="P1" s="62" t="s">
        <v>4872</v>
      </c>
      <c r="Q1" s="62" t="s">
        <v>142</v>
      </c>
      <c r="R1" s="62" t="s">
        <v>20</v>
      </c>
    </row>
    <row r="2" spans="1:22">
      <c r="A2" t="s">
        <v>4870</v>
      </c>
      <c r="B2" t="s">
        <v>4915</v>
      </c>
      <c r="D2" s="3" t="e">
        <f>1+D1</f>
        <v>#VALUE!</v>
      </c>
      <c r="E2" t="s">
        <v>4885</v>
      </c>
      <c r="F2" t="s">
        <v>4894</v>
      </c>
      <c r="G2" s="60">
        <v>46147</v>
      </c>
      <c r="L2" t="s">
        <v>4924</v>
      </c>
      <c r="M2" t="s">
        <v>4909</v>
      </c>
      <c r="P2" t="s">
        <v>4930</v>
      </c>
      <c r="Q2" t="s">
        <v>4945</v>
      </c>
      <c r="R2" s="60">
        <v>46148</v>
      </c>
    </row>
    <row r="3" spans="1:22">
      <c r="A3" t="s">
        <v>4870</v>
      </c>
      <c r="B3" t="s">
        <v>4910</v>
      </c>
      <c r="D3" s="3" t="e">
        <f>1+D2</f>
        <v>#VALUE!</v>
      </c>
      <c r="E3" t="s">
        <v>4880</v>
      </c>
      <c r="F3" t="s">
        <v>4894</v>
      </c>
      <c r="G3" s="60">
        <v>46147</v>
      </c>
      <c r="L3" t="s">
        <v>4901</v>
      </c>
      <c r="M3" t="s">
        <v>4909</v>
      </c>
      <c r="P3" t="s">
        <v>4931</v>
      </c>
      <c r="Q3" t="s">
        <v>4945</v>
      </c>
      <c r="R3" s="60">
        <v>46148</v>
      </c>
    </row>
    <row r="4" spans="1:22">
      <c r="A4" t="s">
        <v>4870</v>
      </c>
      <c r="B4" t="s">
        <v>4911</v>
      </c>
      <c r="D4" s="3" t="e">
        <f>1+D3</f>
        <v>#VALUE!</v>
      </c>
      <c r="E4" t="s">
        <v>4881</v>
      </c>
      <c r="F4" t="s">
        <v>4894</v>
      </c>
      <c r="G4" s="60">
        <v>46147</v>
      </c>
      <c r="L4" t="s">
        <v>4897</v>
      </c>
      <c r="M4" t="s">
        <v>4909</v>
      </c>
      <c r="P4" t="s">
        <v>4932</v>
      </c>
      <c r="Q4" t="s">
        <v>4945</v>
      </c>
      <c r="R4" s="60">
        <v>46148</v>
      </c>
    </row>
    <row r="5" spans="1:22">
      <c r="A5" t="s">
        <v>4870</v>
      </c>
      <c r="B5" t="s">
        <v>4912</v>
      </c>
      <c r="D5" s="3" t="e">
        <f>1+D4</f>
        <v>#VALUE!</v>
      </c>
      <c r="E5" t="s">
        <v>4882</v>
      </c>
      <c r="F5" t="s">
        <v>4894</v>
      </c>
      <c r="G5" s="60">
        <v>46147</v>
      </c>
      <c r="L5">
        <v>9015014399</v>
      </c>
      <c r="M5" t="s">
        <v>4909</v>
      </c>
      <c r="P5" t="s">
        <v>4933</v>
      </c>
      <c r="Q5" t="s">
        <v>4945</v>
      </c>
      <c r="R5" s="60">
        <v>46148</v>
      </c>
    </row>
    <row r="6" spans="1:22">
      <c r="A6" t="s">
        <v>4870</v>
      </c>
      <c r="B6" t="s">
        <v>4913</v>
      </c>
      <c r="D6" s="3" t="e">
        <f>1+D5</f>
        <v>#VALUE!</v>
      </c>
      <c r="E6" t="s">
        <v>4883</v>
      </c>
      <c r="F6" t="s">
        <v>4894</v>
      </c>
      <c r="G6" s="60">
        <v>46147</v>
      </c>
      <c r="L6" t="s">
        <v>4902</v>
      </c>
      <c r="M6" t="s">
        <v>4909</v>
      </c>
      <c r="P6" t="s">
        <v>4934</v>
      </c>
      <c r="Q6" t="s">
        <v>4945</v>
      </c>
      <c r="R6" s="60">
        <v>46148</v>
      </c>
    </row>
    <row r="7" spans="1:22">
      <c r="A7" t="s">
        <v>4870</v>
      </c>
      <c r="B7" t="s">
        <v>4914</v>
      </c>
      <c r="D7" s="3" t="e">
        <f>1+D6</f>
        <v>#VALUE!</v>
      </c>
      <c r="E7" t="s">
        <v>4884</v>
      </c>
      <c r="F7" t="s">
        <v>4894</v>
      </c>
      <c r="G7" s="60">
        <v>46147</v>
      </c>
      <c r="L7" t="s">
        <v>4905</v>
      </c>
      <c r="M7" t="s">
        <v>4909</v>
      </c>
      <c r="P7">
        <v>9015014399</v>
      </c>
      <c r="Q7" t="s">
        <v>4945</v>
      </c>
      <c r="R7" s="60">
        <v>46148</v>
      </c>
    </row>
    <row r="8" spans="1:22">
      <c r="A8" t="s">
        <v>4946</v>
      </c>
      <c r="B8" t="s">
        <v>4952</v>
      </c>
      <c r="D8" s="3" t="e">
        <f>1+D7</f>
        <v>#VALUE!</v>
      </c>
      <c r="E8" t="s">
        <v>4874</v>
      </c>
      <c r="F8" t="s">
        <v>4894</v>
      </c>
      <c r="G8" s="60">
        <v>46147</v>
      </c>
      <c r="L8" t="s">
        <v>4925</v>
      </c>
      <c r="M8" t="s">
        <v>4909</v>
      </c>
      <c r="P8" t="s">
        <v>4902</v>
      </c>
      <c r="Q8" t="s">
        <v>4945</v>
      </c>
      <c r="R8" s="60">
        <v>46148</v>
      </c>
      <c r="T8" s="157" t="s">
        <v>4960</v>
      </c>
      <c r="U8" s="157" t="s">
        <v>4961</v>
      </c>
      <c r="V8" s="157" t="s">
        <v>29</v>
      </c>
    </row>
    <row r="9" spans="1:22">
      <c r="A9" t="s">
        <v>4946</v>
      </c>
      <c r="B9" t="s">
        <v>4951</v>
      </c>
      <c r="D9" s="3" t="e">
        <f>1+D8</f>
        <v>#VALUE!</v>
      </c>
      <c r="E9">
        <v>9015014399</v>
      </c>
      <c r="F9" t="s">
        <v>4909</v>
      </c>
      <c r="G9" s="60">
        <v>46147</v>
      </c>
      <c r="L9">
        <v>9015014805</v>
      </c>
      <c r="M9" t="s">
        <v>4909</v>
      </c>
      <c r="P9" t="s">
        <v>4935</v>
      </c>
      <c r="Q9" t="s">
        <v>4945</v>
      </c>
      <c r="R9" s="60">
        <v>46148</v>
      </c>
      <c r="T9" s="1">
        <v>34361</v>
      </c>
      <c r="U9" s="1">
        <v>34361</v>
      </c>
      <c r="V9" s="1" t="s">
        <v>4962</v>
      </c>
    </row>
    <row r="10" spans="1:22">
      <c r="A10" t="s">
        <v>4946</v>
      </c>
      <c r="B10" t="s">
        <v>4947</v>
      </c>
      <c r="D10" s="3" t="e">
        <f>1+D9</f>
        <v>#VALUE!</v>
      </c>
      <c r="E10">
        <v>9015014805</v>
      </c>
      <c r="F10" t="s">
        <v>4909</v>
      </c>
      <c r="G10" s="60">
        <v>46147</v>
      </c>
      <c r="L10" t="s">
        <v>4890</v>
      </c>
      <c r="M10" t="s">
        <v>4926</v>
      </c>
      <c r="P10">
        <v>9013561018</v>
      </c>
      <c r="Q10" t="s">
        <v>4945</v>
      </c>
      <c r="R10" s="60">
        <v>46148</v>
      </c>
      <c r="T10" s="1">
        <v>53209</v>
      </c>
      <c r="U10" s="1">
        <v>53209</v>
      </c>
      <c r="V10" s="1" t="s">
        <v>4962</v>
      </c>
    </row>
    <row r="11" spans="1:22">
      <c r="A11" t="s">
        <v>4946</v>
      </c>
      <c r="B11" t="s">
        <v>4948</v>
      </c>
      <c r="D11" s="3" t="e">
        <f>1+D10</f>
        <v>#VALUE!</v>
      </c>
      <c r="E11" t="s">
        <v>4905</v>
      </c>
      <c r="F11" t="s">
        <v>4909</v>
      </c>
      <c r="G11" s="60">
        <v>46147</v>
      </c>
      <c r="L11" t="s">
        <v>4887</v>
      </c>
      <c r="M11" t="s">
        <v>4926</v>
      </c>
      <c r="P11" t="s">
        <v>4924</v>
      </c>
      <c r="Q11" t="s">
        <v>4945</v>
      </c>
      <c r="R11" s="60">
        <v>46148</v>
      </c>
    </row>
    <row r="12" spans="1:22">
      <c r="A12" t="s">
        <v>4946</v>
      </c>
      <c r="B12" t="s">
        <v>4949</v>
      </c>
      <c r="D12" s="3" t="e">
        <f>1+D11</f>
        <v>#VALUE!</v>
      </c>
      <c r="E12" t="s">
        <v>4897</v>
      </c>
      <c r="F12" t="s">
        <v>4909</v>
      </c>
      <c r="G12" s="60">
        <v>46147</v>
      </c>
      <c r="L12" t="s">
        <v>4874</v>
      </c>
      <c r="M12" t="s">
        <v>4926</v>
      </c>
      <c r="P12" t="s">
        <v>4936</v>
      </c>
      <c r="Q12" t="s">
        <v>4945</v>
      </c>
      <c r="R12" s="60">
        <v>46148</v>
      </c>
    </row>
    <row r="13" spans="1:22">
      <c r="A13" t="s">
        <v>4946</v>
      </c>
      <c r="B13" t="s">
        <v>4950</v>
      </c>
      <c r="D13" s="3" t="e">
        <f>1+D12</f>
        <v>#VALUE!</v>
      </c>
      <c r="E13" t="s">
        <v>4896</v>
      </c>
      <c r="F13" t="s">
        <v>4909</v>
      </c>
      <c r="G13" s="60">
        <v>46147</v>
      </c>
      <c r="L13" t="s">
        <v>4881</v>
      </c>
      <c r="M13" t="s">
        <v>4926</v>
      </c>
      <c r="P13" t="s">
        <v>4937</v>
      </c>
      <c r="Q13" t="s">
        <v>4945</v>
      </c>
      <c r="R13" s="60">
        <v>46148</v>
      </c>
    </row>
    <row r="14" spans="1:22">
      <c r="D14" s="3" t="e">
        <f>1+D13</f>
        <v>#VALUE!</v>
      </c>
      <c r="E14" t="s">
        <v>4902</v>
      </c>
      <c r="F14" t="s">
        <v>4909</v>
      </c>
      <c r="G14" s="60">
        <v>46147</v>
      </c>
      <c r="L14" t="s">
        <v>4893</v>
      </c>
      <c r="M14" t="s">
        <v>4926</v>
      </c>
      <c r="P14" t="s">
        <v>4938</v>
      </c>
      <c r="Q14" t="s">
        <v>4945</v>
      </c>
      <c r="R14" s="60">
        <v>46148</v>
      </c>
    </row>
    <row r="15" spans="1:22">
      <c r="D15" s="3" t="e">
        <f>1+D14</f>
        <v>#VALUE!</v>
      </c>
      <c r="E15" t="s">
        <v>4901</v>
      </c>
      <c r="F15" t="s">
        <v>4909</v>
      </c>
      <c r="G15" s="60">
        <v>46147</v>
      </c>
      <c r="L15" t="s">
        <v>4891</v>
      </c>
      <c r="M15" t="s">
        <v>4926</v>
      </c>
      <c r="P15" t="s">
        <v>4939</v>
      </c>
      <c r="Q15" t="s">
        <v>4945</v>
      </c>
      <c r="R15" s="60">
        <v>46148</v>
      </c>
    </row>
    <row r="16" spans="1:22">
      <c r="D16" s="3" t="e">
        <f>1+D15</f>
        <v>#VALUE!</v>
      </c>
      <c r="E16" t="s">
        <v>4906</v>
      </c>
      <c r="F16" t="s">
        <v>4909</v>
      </c>
      <c r="G16" s="60">
        <v>46147</v>
      </c>
      <c r="L16" t="s">
        <v>4885</v>
      </c>
      <c r="M16" t="s">
        <v>4926</v>
      </c>
      <c r="P16">
        <v>9015008942</v>
      </c>
      <c r="Q16" t="s">
        <v>4945</v>
      </c>
      <c r="R16" s="60">
        <v>46148</v>
      </c>
    </row>
    <row r="17" spans="4:18">
      <c r="D17" s="3" t="e">
        <f>1+D16</f>
        <v>#VALUE!</v>
      </c>
      <c r="E17" t="s">
        <v>4893</v>
      </c>
      <c r="F17" t="s">
        <v>4894</v>
      </c>
      <c r="G17" s="60">
        <v>46147</v>
      </c>
      <c r="L17" t="s">
        <v>4880</v>
      </c>
      <c r="M17" t="s">
        <v>4926</v>
      </c>
      <c r="P17">
        <v>9015004077</v>
      </c>
      <c r="Q17" t="s">
        <v>4945</v>
      </c>
      <c r="R17" s="60">
        <v>46148</v>
      </c>
    </row>
    <row r="18" spans="4:18">
      <c r="D18" s="3" t="e">
        <f>1+D17</f>
        <v>#VALUE!</v>
      </c>
      <c r="E18" t="s">
        <v>4890</v>
      </c>
      <c r="F18" t="s">
        <v>4894</v>
      </c>
      <c r="G18" s="60">
        <v>46147</v>
      </c>
      <c r="P18" t="s">
        <v>4940</v>
      </c>
      <c r="Q18" t="s">
        <v>4945</v>
      </c>
      <c r="R18" s="60">
        <v>46148</v>
      </c>
    </row>
    <row r="19" spans="4:18">
      <c r="D19" s="3" t="e">
        <f>1+D18</f>
        <v>#VALUE!</v>
      </c>
      <c r="E19" t="s">
        <v>4887</v>
      </c>
      <c r="F19" t="s">
        <v>4894</v>
      </c>
      <c r="G19" s="60">
        <v>46147</v>
      </c>
      <c r="P19" t="s">
        <v>4941</v>
      </c>
      <c r="Q19" t="s">
        <v>4945</v>
      </c>
      <c r="R19" s="60">
        <v>46148</v>
      </c>
    </row>
    <row r="20" spans="4:18">
      <c r="D20" s="3" t="e">
        <f>1+D19</f>
        <v>#VALUE!</v>
      </c>
      <c r="E20" t="s">
        <v>4891</v>
      </c>
      <c r="F20" t="s">
        <v>4894</v>
      </c>
      <c r="G20" s="60">
        <v>46147</v>
      </c>
      <c r="P20" t="s">
        <v>4942</v>
      </c>
      <c r="Q20" t="s">
        <v>4945</v>
      </c>
      <c r="R20" s="60">
        <v>46148</v>
      </c>
    </row>
    <row r="21" spans="4:18">
      <c r="D21" s="3" t="e">
        <f>1+D20</f>
        <v>#VALUE!</v>
      </c>
      <c r="E21" t="s">
        <v>4879</v>
      </c>
      <c r="F21" t="s">
        <v>4894</v>
      </c>
      <c r="G21" s="60">
        <v>46147</v>
      </c>
      <c r="P21" t="s">
        <v>4943</v>
      </c>
      <c r="Q21" t="s">
        <v>4945</v>
      </c>
      <c r="R21" s="60">
        <v>46148</v>
      </c>
    </row>
    <row r="22" spans="4:18">
      <c r="D22" s="3" t="e">
        <f>1+D21</f>
        <v>#VALUE!</v>
      </c>
      <c r="E22" t="s">
        <v>4877</v>
      </c>
      <c r="F22" t="s">
        <v>4894</v>
      </c>
      <c r="G22" s="60">
        <v>46147</v>
      </c>
      <c r="P22">
        <v>9015014805</v>
      </c>
      <c r="Q22" t="s">
        <v>4945</v>
      </c>
      <c r="R22" s="60">
        <v>46148</v>
      </c>
    </row>
    <row r="23" spans="4:18">
      <c r="D23" s="3" t="e">
        <f>1+D22</f>
        <v>#VALUE!</v>
      </c>
      <c r="E23" t="s">
        <v>4875</v>
      </c>
      <c r="F23" t="s">
        <v>4894</v>
      </c>
      <c r="G23" s="60">
        <v>46147</v>
      </c>
      <c r="P23">
        <v>9015012427</v>
      </c>
      <c r="Q23" t="s">
        <v>4945</v>
      </c>
      <c r="R23" s="60">
        <v>46148</v>
      </c>
    </row>
    <row r="24" spans="4:18">
      <c r="D24" s="3">
        <v>1</v>
      </c>
      <c r="E24" t="s">
        <v>4873</v>
      </c>
      <c r="F24" t="s">
        <v>4894</v>
      </c>
      <c r="G24" s="60">
        <v>46147</v>
      </c>
      <c r="P24" t="s">
        <v>4944</v>
      </c>
      <c r="Q24" t="s">
        <v>4945</v>
      </c>
      <c r="R24" s="60">
        <v>46148</v>
      </c>
    </row>
    <row r="25" spans="4:18">
      <c r="D25" s="3">
        <f>1+D24</f>
        <v>2</v>
      </c>
      <c r="E25" t="s">
        <v>4878</v>
      </c>
      <c r="F25" t="s">
        <v>4894</v>
      </c>
      <c r="G25" s="60">
        <v>46147</v>
      </c>
      <c r="P25" t="s">
        <v>4897</v>
      </c>
      <c r="Q25" t="s">
        <v>4945</v>
      </c>
      <c r="R25" s="60">
        <v>46148</v>
      </c>
    </row>
    <row r="26" spans="4:18">
      <c r="D26" s="3">
        <f>1+D25</f>
        <v>3</v>
      </c>
      <c r="E26" t="s">
        <v>4876</v>
      </c>
      <c r="F26" t="s">
        <v>4894</v>
      </c>
      <c r="G26" s="60">
        <v>46147</v>
      </c>
      <c r="P26">
        <v>9015015662</v>
      </c>
      <c r="Q26" t="s">
        <v>4945</v>
      </c>
      <c r="R26" s="60">
        <v>46148</v>
      </c>
    </row>
    <row r="27" spans="4:18">
      <c r="D27" s="3">
        <f>1+D26</f>
        <v>4</v>
      </c>
      <c r="E27">
        <v>9015008145</v>
      </c>
      <c r="F27" t="s">
        <v>4909</v>
      </c>
      <c r="G27" s="60">
        <v>46147</v>
      </c>
    </row>
    <row r="28" spans="4:18">
      <c r="D28" s="3">
        <f>1+D27</f>
        <v>5</v>
      </c>
      <c r="E28">
        <v>9015014973</v>
      </c>
      <c r="F28" t="s">
        <v>4909</v>
      </c>
      <c r="G28" s="60">
        <v>46147</v>
      </c>
    </row>
    <row r="29" spans="4:18">
      <c r="D29" s="3">
        <f>1+D28</f>
        <v>6</v>
      </c>
      <c r="E29" t="s">
        <v>4904</v>
      </c>
      <c r="F29" t="s">
        <v>4909</v>
      </c>
      <c r="G29" s="60">
        <v>46147</v>
      </c>
    </row>
    <row r="30" spans="4:18">
      <c r="D30" s="3">
        <f>1+D29</f>
        <v>7</v>
      </c>
      <c r="E30" t="s">
        <v>4907</v>
      </c>
      <c r="F30" t="s">
        <v>4909</v>
      </c>
      <c r="G30" s="60">
        <v>46147</v>
      </c>
    </row>
    <row r="31" spans="4:18">
      <c r="D31" s="3">
        <f>1+D30</f>
        <v>8</v>
      </c>
      <c r="E31" t="s">
        <v>4908</v>
      </c>
      <c r="F31" t="s">
        <v>4909</v>
      </c>
      <c r="G31" s="60">
        <v>46147</v>
      </c>
    </row>
    <row r="32" spans="4:18">
      <c r="D32" s="3">
        <f>1+D31</f>
        <v>9</v>
      </c>
      <c r="E32" t="s">
        <v>4900</v>
      </c>
      <c r="F32" t="s">
        <v>4909</v>
      </c>
      <c r="G32" s="60">
        <v>46147</v>
      </c>
    </row>
    <row r="33" spans="4:7">
      <c r="D33" s="3">
        <f>1+D32</f>
        <v>10</v>
      </c>
      <c r="E33" t="s">
        <v>4899</v>
      </c>
      <c r="F33" t="s">
        <v>4909</v>
      </c>
      <c r="G33" s="60">
        <v>46147</v>
      </c>
    </row>
    <row r="34" spans="4:7">
      <c r="D34" s="3">
        <f>1+D33</f>
        <v>11</v>
      </c>
      <c r="E34" t="s">
        <v>4903</v>
      </c>
      <c r="F34" t="s">
        <v>4909</v>
      </c>
      <c r="G34" s="60">
        <v>46147</v>
      </c>
    </row>
    <row r="35" spans="4:7">
      <c r="D35" s="3">
        <f>1+D34</f>
        <v>12</v>
      </c>
      <c r="E35" t="s">
        <v>4895</v>
      </c>
      <c r="F35" t="s">
        <v>4909</v>
      </c>
      <c r="G35" s="60">
        <v>46147</v>
      </c>
    </row>
    <row r="36" spans="4:7">
      <c r="D36" s="3">
        <f>1+D35</f>
        <v>13</v>
      </c>
      <c r="E36" t="s">
        <v>4898</v>
      </c>
      <c r="F36" t="s">
        <v>4909</v>
      </c>
      <c r="G36" s="60">
        <v>46147</v>
      </c>
    </row>
    <row r="37" spans="4:7">
      <c r="D37" s="3">
        <f>1+D36</f>
        <v>14</v>
      </c>
      <c r="E37" t="s">
        <v>4886</v>
      </c>
      <c r="F37" t="s">
        <v>4894</v>
      </c>
      <c r="G37" s="60">
        <v>46147</v>
      </c>
    </row>
    <row r="38" spans="4:7">
      <c r="D38" s="3">
        <f>1+D37</f>
        <v>15</v>
      </c>
      <c r="E38" t="s">
        <v>4888</v>
      </c>
      <c r="F38" t="s">
        <v>4894</v>
      </c>
      <c r="G38" s="60">
        <v>46147</v>
      </c>
    </row>
    <row r="39" spans="4:7">
      <c r="D39" s="3">
        <f>1+D38</f>
        <v>16</v>
      </c>
      <c r="E39" t="s">
        <v>4892</v>
      </c>
      <c r="F39" t="s">
        <v>4894</v>
      </c>
      <c r="G39" s="60">
        <v>46147</v>
      </c>
    </row>
    <row r="40" spans="4:7">
      <c r="D40" s="3">
        <f>1+D39</f>
        <v>17</v>
      </c>
      <c r="E40" t="s">
        <v>4889</v>
      </c>
      <c r="F40" t="s">
        <v>4894</v>
      </c>
      <c r="G40" s="60">
        <v>46147</v>
      </c>
    </row>
  </sheetData>
  <autoFilter ref="A1:G40" xr:uid="{2FACF005-3219-4984-809E-A4A2ACB09A5D}">
    <sortState xmlns:xlrd2="http://schemas.microsoft.com/office/spreadsheetml/2017/richdata2" ref="A2:G40">
      <sortCondition ref="A1:A40"/>
    </sortState>
  </autoFilter>
  <conditionalFormatting sqref="L1:L1048576 E1:E1048576">
    <cfRule type="duplicateValues" dxfId="806" priority="4"/>
  </conditionalFormatting>
  <conditionalFormatting sqref="P1">
    <cfRule type="duplicateValues" dxfId="805" priority="3"/>
  </conditionalFormatting>
  <conditionalFormatting sqref="P2:P26">
    <cfRule type="duplicateValues" dxfId="804" priority="2"/>
  </conditionalFormatting>
  <conditionalFormatting sqref="P1:P1048576">
    <cfRule type="duplicateValues" dxfId="803" priority="11488"/>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63BD-C08A-48FC-882F-29E4656318E7}">
  <dimension ref="A1:M133"/>
  <sheetViews>
    <sheetView topLeftCell="A107" workbookViewId="0">
      <selection activeCell="B134" sqref="B134"/>
    </sheetView>
  </sheetViews>
  <sheetFormatPr defaultRowHeight="15"/>
  <cols>
    <col min="1" max="1" width="8.42578125" bestFit="1" customWidth="1"/>
    <col min="2" max="2" width="14.5703125" bestFit="1" customWidth="1"/>
    <col min="3" max="3" width="15.140625" bestFit="1" customWidth="1"/>
    <col min="4" max="4" width="10" bestFit="1" customWidth="1"/>
    <col min="5" max="5" width="9.85546875" bestFit="1" customWidth="1"/>
    <col min="6" max="6" width="16.140625" bestFit="1" customWidth="1"/>
    <col min="7" max="7" width="12.7109375" bestFit="1" customWidth="1"/>
  </cols>
  <sheetData>
    <row r="1" spans="1:13">
      <c r="A1" s="9" t="s">
        <v>4581</v>
      </c>
      <c r="B1" s="9" t="s">
        <v>4579</v>
      </c>
      <c r="C1" s="9" t="s">
        <v>4582</v>
      </c>
      <c r="D1" s="9" t="s">
        <v>4580</v>
      </c>
      <c r="E1" s="9" t="s">
        <v>20</v>
      </c>
      <c r="F1" s="9" t="s">
        <v>606</v>
      </c>
    </row>
    <row r="2" spans="1:13">
      <c r="A2">
        <v>1</v>
      </c>
      <c r="B2" t="s">
        <v>4690</v>
      </c>
      <c r="C2" t="str">
        <f t="shared" ref="C2:C33" si="0">CONCATENATE(B2,",")</f>
        <v>FS7527803903,</v>
      </c>
      <c r="D2">
        <v>527803903</v>
      </c>
      <c r="E2" s="61">
        <v>46112</v>
      </c>
      <c r="F2" t="s">
        <v>4583</v>
      </c>
    </row>
    <row r="3" spans="1:13">
      <c r="A3">
        <f t="shared" ref="A3:A34" si="1">1+A2</f>
        <v>2</v>
      </c>
      <c r="B3" t="s">
        <v>4691</v>
      </c>
      <c r="C3" t="str">
        <f t="shared" si="0"/>
        <v>FS7527816250,</v>
      </c>
      <c r="D3">
        <v>527816250</v>
      </c>
      <c r="E3" s="61">
        <v>46112</v>
      </c>
      <c r="F3" t="s">
        <v>4583</v>
      </c>
      <c r="L3" s="60"/>
      <c r="M3" s="74"/>
    </row>
    <row r="4" spans="1:13">
      <c r="A4">
        <f t="shared" si="1"/>
        <v>3</v>
      </c>
      <c r="B4" t="s">
        <v>4692</v>
      </c>
      <c r="C4" t="str">
        <f t="shared" si="0"/>
        <v>FS7527849197,</v>
      </c>
      <c r="D4">
        <v>527849197</v>
      </c>
      <c r="E4" s="61">
        <v>46112</v>
      </c>
      <c r="F4" t="s">
        <v>4583</v>
      </c>
      <c r="L4" s="60"/>
      <c r="M4" s="74"/>
    </row>
    <row r="5" spans="1:13">
      <c r="A5">
        <f t="shared" si="1"/>
        <v>4</v>
      </c>
      <c r="B5" t="s">
        <v>4693</v>
      </c>
      <c r="C5" t="str">
        <f t="shared" si="0"/>
        <v>FS7527852417,</v>
      </c>
      <c r="D5">
        <v>527852417</v>
      </c>
      <c r="E5" s="61">
        <v>46112</v>
      </c>
      <c r="F5" t="s">
        <v>4583</v>
      </c>
      <c r="L5" s="60"/>
      <c r="M5" s="74"/>
    </row>
    <row r="6" spans="1:13">
      <c r="A6">
        <f t="shared" si="1"/>
        <v>5</v>
      </c>
      <c r="B6" t="s">
        <v>4694</v>
      </c>
      <c r="C6" t="str">
        <f t="shared" si="0"/>
        <v>ID0061332554,</v>
      </c>
      <c r="D6">
        <v>61332554</v>
      </c>
      <c r="E6" s="61">
        <v>46112</v>
      </c>
      <c r="F6" t="s">
        <v>4583</v>
      </c>
      <c r="L6" s="60"/>
      <c r="M6" s="74"/>
    </row>
    <row r="7" spans="1:13">
      <c r="A7">
        <f t="shared" si="1"/>
        <v>6</v>
      </c>
      <c r="B7" t="s">
        <v>4696</v>
      </c>
      <c r="C7" t="str">
        <f t="shared" si="0"/>
        <v>ID7530642734,</v>
      </c>
      <c r="D7">
        <v>530642734</v>
      </c>
      <c r="E7" s="61">
        <v>46112</v>
      </c>
      <c r="F7" t="s">
        <v>4583</v>
      </c>
      <c r="L7" s="60"/>
      <c r="M7" s="74"/>
    </row>
    <row r="8" spans="1:13">
      <c r="A8">
        <f t="shared" si="1"/>
        <v>7</v>
      </c>
      <c r="B8" t="s">
        <v>4698</v>
      </c>
      <c r="C8" t="str">
        <f t="shared" si="0"/>
        <v>ID7530642870,</v>
      </c>
      <c r="D8">
        <v>530642870</v>
      </c>
      <c r="E8" s="61">
        <v>46112</v>
      </c>
      <c r="F8" t="s">
        <v>4583</v>
      </c>
      <c r="L8" s="60"/>
      <c r="M8" s="74"/>
    </row>
    <row r="9" spans="1:13">
      <c r="A9">
        <f t="shared" si="1"/>
        <v>8</v>
      </c>
      <c r="B9" t="s">
        <v>4700</v>
      </c>
      <c r="C9" t="str">
        <f t="shared" si="0"/>
        <v>ID7530645340,</v>
      </c>
      <c r="D9">
        <v>530645340</v>
      </c>
      <c r="E9" s="61">
        <v>46112</v>
      </c>
      <c r="F9" t="s">
        <v>4583</v>
      </c>
      <c r="L9" s="60"/>
      <c r="M9" s="74"/>
    </row>
    <row r="10" spans="1:13">
      <c r="A10">
        <f t="shared" si="1"/>
        <v>9</v>
      </c>
      <c r="B10" t="s">
        <v>4702</v>
      </c>
      <c r="C10" t="str">
        <f t="shared" si="0"/>
        <v>KI0065397997,</v>
      </c>
      <c r="D10">
        <v>65397997</v>
      </c>
      <c r="E10" s="61">
        <v>46112</v>
      </c>
      <c r="F10" t="s">
        <v>4583</v>
      </c>
      <c r="L10" s="60"/>
      <c r="M10" s="74"/>
    </row>
    <row r="11" spans="1:13">
      <c r="A11">
        <f t="shared" si="1"/>
        <v>10</v>
      </c>
      <c r="B11" t="s">
        <v>4703</v>
      </c>
      <c r="C11" t="str">
        <f t="shared" si="0"/>
        <v>KI7529010269,</v>
      </c>
      <c r="D11">
        <v>529010269</v>
      </c>
      <c r="E11" s="61">
        <v>46112</v>
      </c>
      <c r="F11" t="s">
        <v>4583</v>
      </c>
      <c r="L11" s="60"/>
      <c r="M11" s="74"/>
    </row>
    <row r="12" spans="1:13">
      <c r="A12">
        <f t="shared" si="1"/>
        <v>11</v>
      </c>
      <c r="B12" t="s">
        <v>4704</v>
      </c>
      <c r="C12" t="str">
        <f t="shared" si="0"/>
        <v>KI7529068123,</v>
      </c>
      <c r="D12">
        <v>529068123</v>
      </c>
      <c r="E12" s="61">
        <v>46112</v>
      </c>
      <c r="F12" t="s">
        <v>4583</v>
      </c>
      <c r="L12" s="60"/>
      <c r="M12" s="74"/>
    </row>
    <row r="13" spans="1:13">
      <c r="A13">
        <f t="shared" si="1"/>
        <v>12</v>
      </c>
      <c r="B13" t="s">
        <v>4706</v>
      </c>
      <c r="C13" t="str">
        <f t="shared" si="0"/>
        <v>KI7529073852,</v>
      </c>
      <c r="D13">
        <v>529073852</v>
      </c>
      <c r="E13" s="61">
        <v>46112</v>
      </c>
      <c r="F13" t="s">
        <v>4583</v>
      </c>
      <c r="L13" s="60"/>
      <c r="M13" s="74"/>
    </row>
    <row r="14" spans="1:13">
      <c r="A14">
        <f t="shared" si="1"/>
        <v>13</v>
      </c>
      <c r="B14" t="s">
        <v>4707</v>
      </c>
      <c r="C14" t="str">
        <f t="shared" si="0"/>
        <v>KI7529088859,</v>
      </c>
      <c r="D14">
        <v>529088859</v>
      </c>
      <c r="E14" s="61">
        <v>46112</v>
      </c>
      <c r="F14" t="s">
        <v>4583</v>
      </c>
      <c r="L14" s="60"/>
      <c r="M14" s="74"/>
    </row>
    <row r="15" spans="1:13">
      <c r="A15">
        <f t="shared" si="1"/>
        <v>14</v>
      </c>
      <c r="B15" t="s">
        <v>4708</v>
      </c>
      <c r="C15" t="str">
        <f t="shared" si="0"/>
        <v>KI7529090346,</v>
      </c>
      <c r="D15">
        <v>529090346</v>
      </c>
      <c r="E15" s="61">
        <v>46112</v>
      </c>
      <c r="F15" t="s">
        <v>4583</v>
      </c>
      <c r="L15" s="60"/>
      <c r="M15" s="74"/>
    </row>
    <row r="16" spans="1:13">
      <c r="A16">
        <f t="shared" si="1"/>
        <v>15</v>
      </c>
      <c r="B16" t="s">
        <v>4709</v>
      </c>
      <c r="C16" t="str">
        <f t="shared" si="0"/>
        <v>KI7529093265,</v>
      </c>
      <c r="D16">
        <v>529093265</v>
      </c>
      <c r="E16" s="61">
        <v>46112</v>
      </c>
      <c r="F16" t="s">
        <v>4583</v>
      </c>
      <c r="L16" s="60"/>
      <c r="M16" s="74"/>
    </row>
    <row r="17" spans="1:13">
      <c r="A17">
        <f t="shared" si="1"/>
        <v>16</v>
      </c>
      <c r="B17" t="s">
        <v>4710</v>
      </c>
      <c r="C17" t="str">
        <f t="shared" si="0"/>
        <v>KI7529094212,</v>
      </c>
      <c r="D17">
        <v>529094212</v>
      </c>
      <c r="E17" s="61">
        <v>46112</v>
      </c>
      <c r="F17" t="s">
        <v>4583</v>
      </c>
      <c r="L17" s="60"/>
      <c r="M17" s="74"/>
    </row>
    <row r="18" spans="1:13">
      <c r="A18">
        <f t="shared" si="1"/>
        <v>17</v>
      </c>
      <c r="B18" t="s">
        <v>4712</v>
      </c>
      <c r="C18" t="str">
        <f t="shared" si="0"/>
        <v>KI7529110690,</v>
      </c>
      <c r="D18">
        <v>529110690</v>
      </c>
      <c r="E18" s="61">
        <v>46112</v>
      </c>
      <c r="F18" t="s">
        <v>4583</v>
      </c>
      <c r="L18" s="60"/>
      <c r="M18" s="74"/>
    </row>
    <row r="19" spans="1:13">
      <c r="A19">
        <f t="shared" si="1"/>
        <v>18</v>
      </c>
      <c r="B19" t="s">
        <v>4713</v>
      </c>
      <c r="C19" t="str">
        <f t="shared" si="0"/>
        <v>KI7529113021,</v>
      </c>
      <c r="D19">
        <v>529113021</v>
      </c>
      <c r="E19" s="61">
        <v>46112</v>
      </c>
      <c r="F19" t="s">
        <v>4583</v>
      </c>
      <c r="L19" s="60"/>
      <c r="M19" s="74"/>
    </row>
    <row r="20" spans="1:13">
      <c r="A20">
        <f t="shared" si="1"/>
        <v>19</v>
      </c>
      <c r="B20" t="s">
        <v>4714</v>
      </c>
      <c r="C20" t="str">
        <f t="shared" si="0"/>
        <v>KI7529117926,</v>
      </c>
      <c r="D20">
        <v>529117926</v>
      </c>
      <c r="E20" s="61">
        <v>46112</v>
      </c>
      <c r="F20" t="s">
        <v>4583</v>
      </c>
      <c r="L20" s="60"/>
      <c r="M20" s="74"/>
    </row>
    <row r="21" spans="1:13">
      <c r="A21">
        <f t="shared" si="1"/>
        <v>20</v>
      </c>
      <c r="B21" t="s">
        <v>4715</v>
      </c>
      <c r="C21" t="str">
        <f t="shared" si="0"/>
        <v>KI7529124404,</v>
      </c>
      <c r="D21">
        <v>529124404</v>
      </c>
      <c r="E21" s="61">
        <v>46112</v>
      </c>
      <c r="F21" t="s">
        <v>4583</v>
      </c>
      <c r="L21" s="60"/>
      <c r="M21" s="74"/>
    </row>
    <row r="22" spans="1:13">
      <c r="A22">
        <f t="shared" si="1"/>
        <v>21</v>
      </c>
      <c r="B22" t="s">
        <v>4716</v>
      </c>
      <c r="C22" t="str">
        <f t="shared" si="0"/>
        <v>KI7529129886,</v>
      </c>
      <c r="D22">
        <v>529129886</v>
      </c>
      <c r="E22" s="61">
        <v>46112</v>
      </c>
      <c r="F22" t="s">
        <v>4583</v>
      </c>
      <c r="L22" s="60"/>
      <c r="M22" s="74"/>
    </row>
    <row r="23" spans="1:13">
      <c r="A23">
        <f t="shared" si="1"/>
        <v>22</v>
      </c>
      <c r="B23" t="s">
        <v>4717</v>
      </c>
      <c r="C23" t="str">
        <f t="shared" si="0"/>
        <v>KI7529130517,</v>
      </c>
      <c r="D23">
        <v>529130517</v>
      </c>
      <c r="E23" s="61">
        <v>46112</v>
      </c>
      <c r="F23" t="s">
        <v>4583</v>
      </c>
      <c r="L23" s="60"/>
      <c r="M23" s="74"/>
    </row>
    <row r="24" spans="1:13">
      <c r="A24">
        <f t="shared" si="1"/>
        <v>23</v>
      </c>
      <c r="B24" t="s">
        <v>4718</v>
      </c>
      <c r="C24" t="str">
        <f t="shared" si="0"/>
        <v>KI7529131244,</v>
      </c>
      <c r="D24">
        <v>529131244</v>
      </c>
      <c r="E24" s="61">
        <v>46112</v>
      </c>
      <c r="F24" t="s">
        <v>4583</v>
      </c>
      <c r="L24" s="60"/>
      <c r="M24" s="74"/>
    </row>
    <row r="25" spans="1:13">
      <c r="A25">
        <f t="shared" si="1"/>
        <v>24</v>
      </c>
      <c r="B25" t="s">
        <v>4719</v>
      </c>
      <c r="C25" t="str">
        <f t="shared" si="0"/>
        <v>KI7529138696,</v>
      </c>
      <c r="D25">
        <v>529138696</v>
      </c>
      <c r="E25" s="61">
        <v>46112</v>
      </c>
      <c r="F25" t="s">
        <v>4583</v>
      </c>
      <c r="L25" s="60"/>
      <c r="M25" s="74"/>
    </row>
    <row r="26" spans="1:13">
      <c r="A26">
        <f t="shared" si="1"/>
        <v>25</v>
      </c>
      <c r="B26" t="s">
        <v>4720</v>
      </c>
      <c r="C26" t="str">
        <f t="shared" si="0"/>
        <v>KI7529143041,</v>
      </c>
      <c r="D26">
        <v>529143041</v>
      </c>
      <c r="E26" s="61">
        <v>46112</v>
      </c>
      <c r="F26" t="s">
        <v>4583</v>
      </c>
      <c r="L26" s="60"/>
      <c r="M26" s="74"/>
    </row>
    <row r="27" spans="1:13">
      <c r="A27">
        <f t="shared" si="1"/>
        <v>26</v>
      </c>
      <c r="B27" t="s">
        <v>4722</v>
      </c>
      <c r="C27" t="str">
        <f t="shared" si="0"/>
        <v>KI7529151897,</v>
      </c>
      <c r="D27">
        <v>529151897</v>
      </c>
      <c r="E27" s="61">
        <v>46112</v>
      </c>
      <c r="F27" t="s">
        <v>4583</v>
      </c>
    </row>
    <row r="28" spans="1:13">
      <c r="A28">
        <f t="shared" si="1"/>
        <v>27</v>
      </c>
      <c r="B28" t="s">
        <v>4726</v>
      </c>
      <c r="C28" t="str">
        <f t="shared" si="0"/>
        <v>KI7529155903,</v>
      </c>
      <c r="D28">
        <v>529155903</v>
      </c>
      <c r="E28" s="61">
        <v>46112</v>
      </c>
      <c r="F28" t="s">
        <v>4583</v>
      </c>
    </row>
    <row r="29" spans="1:13">
      <c r="A29">
        <f t="shared" si="1"/>
        <v>28</v>
      </c>
      <c r="B29" t="s">
        <v>4728</v>
      </c>
      <c r="C29" t="str">
        <f t="shared" si="0"/>
        <v>KI7529173267,</v>
      </c>
      <c r="D29">
        <v>529173267</v>
      </c>
      <c r="E29" s="61">
        <v>46112</v>
      </c>
      <c r="F29" t="s">
        <v>4583</v>
      </c>
    </row>
    <row r="30" spans="1:13">
      <c r="A30">
        <f t="shared" si="1"/>
        <v>29</v>
      </c>
      <c r="B30" t="s">
        <v>4729</v>
      </c>
      <c r="C30" t="str">
        <f t="shared" si="0"/>
        <v>KI7529175985,</v>
      </c>
      <c r="D30">
        <v>529175985</v>
      </c>
      <c r="E30" s="61">
        <v>46112</v>
      </c>
      <c r="F30" t="s">
        <v>4583</v>
      </c>
    </row>
    <row r="31" spans="1:13">
      <c r="A31">
        <f t="shared" si="1"/>
        <v>30</v>
      </c>
      <c r="B31" t="s">
        <v>4730</v>
      </c>
      <c r="C31" t="str">
        <f t="shared" si="0"/>
        <v>KI7529178068,</v>
      </c>
      <c r="D31">
        <v>529178068</v>
      </c>
      <c r="E31" s="61">
        <v>46112</v>
      </c>
      <c r="F31" t="s">
        <v>4583</v>
      </c>
    </row>
    <row r="32" spans="1:13">
      <c r="A32">
        <f t="shared" si="1"/>
        <v>31</v>
      </c>
      <c r="B32" t="s">
        <v>4731</v>
      </c>
      <c r="C32" t="str">
        <f t="shared" si="0"/>
        <v>KI7529179190,</v>
      </c>
      <c r="D32">
        <v>529179190</v>
      </c>
      <c r="E32" s="61">
        <v>46112</v>
      </c>
      <c r="F32" t="s">
        <v>4583</v>
      </c>
    </row>
    <row r="33" spans="1:6">
      <c r="A33">
        <f t="shared" si="1"/>
        <v>32</v>
      </c>
      <c r="B33" t="s">
        <v>4733</v>
      </c>
      <c r="C33" t="str">
        <f t="shared" si="0"/>
        <v>KI7529186741,</v>
      </c>
      <c r="D33">
        <v>529186741</v>
      </c>
      <c r="E33" s="61">
        <v>46112</v>
      </c>
      <c r="F33" t="s">
        <v>4583</v>
      </c>
    </row>
    <row r="34" spans="1:6">
      <c r="A34">
        <f t="shared" si="1"/>
        <v>33</v>
      </c>
      <c r="B34" t="s">
        <v>4734</v>
      </c>
      <c r="C34" t="str">
        <f t="shared" ref="C34:C65" si="2">CONCATENATE(B34,",")</f>
        <v>KI7529191892,</v>
      </c>
      <c r="D34">
        <v>529191892</v>
      </c>
      <c r="E34" s="61">
        <v>46112</v>
      </c>
      <c r="F34" t="s">
        <v>4583</v>
      </c>
    </row>
    <row r="35" spans="1:6">
      <c r="A35">
        <f t="shared" ref="A35:A66" si="3">1+A34</f>
        <v>34</v>
      </c>
      <c r="B35" t="s">
        <v>4736</v>
      </c>
      <c r="C35" t="str">
        <f t="shared" si="2"/>
        <v>KI7529206700,</v>
      </c>
      <c r="D35">
        <v>529206700</v>
      </c>
      <c r="E35" s="61">
        <v>46112</v>
      </c>
      <c r="F35" t="s">
        <v>4583</v>
      </c>
    </row>
    <row r="36" spans="1:6">
      <c r="A36">
        <f t="shared" si="3"/>
        <v>35</v>
      </c>
      <c r="B36" t="s">
        <v>4737</v>
      </c>
      <c r="C36" t="str">
        <f t="shared" si="2"/>
        <v>KI7529229133,</v>
      </c>
      <c r="D36">
        <v>529229133</v>
      </c>
      <c r="E36" s="61">
        <v>46112</v>
      </c>
      <c r="F36" t="s">
        <v>4583</v>
      </c>
    </row>
    <row r="37" spans="1:6">
      <c r="A37">
        <f t="shared" si="3"/>
        <v>36</v>
      </c>
      <c r="B37" t="s">
        <v>4738</v>
      </c>
      <c r="C37" t="str">
        <f t="shared" si="2"/>
        <v>KI7531485828,</v>
      </c>
      <c r="D37">
        <v>531485828</v>
      </c>
      <c r="E37" s="61">
        <v>46112</v>
      </c>
      <c r="F37" t="s">
        <v>4583</v>
      </c>
    </row>
    <row r="38" spans="1:6">
      <c r="A38">
        <f t="shared" si="3"/>
        <v>37</v>
      </c>
      <c r="B38" t="s">
        <v>4741</v>
      </c>
      <c r="C38" t="str">
        <f t="shared" si="2"/>
        <v>KI7531528057,</v>
      </c>
      <c r="D38">
        <v>531528057</v>
      </c>
      <c r="E38" s="61">
        <v>46112</v>
      </c>
      <c r="F38" t="s">
        <v>4583</v>
      </c>
    </row>
    <row r="39" spans="1:6">
      <c r="A39">
        <f t="shared" si="3"/>
        <v>38</v>
      </c>
      <c r="B39" t="s">
        <v>4742</v>
      </c>
      <c r="C39" t="str">
        <f t="shared" si="2"/>
        <v>KI7531535976,</v>
      </c>
      <c r="D39">
        <v>531535976</v>
      </c>
      <c r="E39" s="61">
        <v>46112</v>
      </c>
      <c r="F39" t="s">
        <v>4583</v>
      </c>
    </row>
    <row r="40" spans="1:6">
      <c r="A40">
        <f t="shared" si="3"/>
        <v>39</v>
      </c>
      <c r="B40" t="s">
        <v>4743</v>
      </c>
      <c r="C40" t="str">
        <f t="shared" si="2"/>
        <v>KI7531542088,</v>
      </c>
      <c r="D40">
        <v>531542088</v>
      </c>
      <c r="E40" s="61">
        <v>46112</v>
      </c>
      <c r="F40" t="s">
        <v>4583</v>
      </c>
    </row>
    <row r="41" spans="1:6">
      <c r="A41">
        <f t="shared" si="3"/>
        <v>40</v>
      </c>
      <c r="B41" t="s">
        <v>4744</v>
      </c>
      <c r="C41" t="str">
        <f t="shared" si="2"/>
        <v>KI7531542201,</v>
      </c>
      <c r="D41">
        <v>531542201</v>
      </c>
      <c r="E41" s="61">
        <v>46112</v>
      </c>
      <c r="F41" t="s">
        <v>4583</v>
      </c>
    </row>
    <row r="42" spans="1:6">
      <c r="A42">
        <f t="shared" si="3"/>
        <v>41</v>
      </c>
      <c r="B42" t="s">
        <v>4746</v>
      </c>
      <c r="C42" t="str">
        <f t="shared" si="2"/>
        <v>LE0061285930,</v>
      </c>
      <c r="D42">
        <v>61285930</v>
      </c>
      <c r="E42" s="61">
        <v>46112</v>
      </c>
      <c r="F42" t="s">
        <v>4583</v>
      </c>
    </row>
    <row r="43" spans="1:6">
      <c r="A43">
        <f t="shared" si="3"/>
        <v>42</v>
      </c>
      <c r="B43" t="s">
        <v>4747</v>
      </c>
      <c r="C43" t="str">
        <f t="shared" si="2"/>
        <v>LE7530206939,</v>
      </c>
      <c r="D43">
        <v>530206939</v>
      </c>
      <c r="E43" s="61">
        <v>46112</v>
      </c>
      <c r="F43" t="s">
        <v>4583</v>
      </c>
    </row>
    <row r="44" spans="1:6">
      <c r="A44">
        <f t="shared" si="3"/>
        <v>43</v>
      </c>
      <c r="B44" t="s">
        <v>4748</v>
      </c>
      <c r="C44" t="str">
        <f t="shared" si="2"/>
        <v>LE7530218130,</v>
      </c>
      <c r="D44">
        <v>530218130</v>
      </c>
      <c r="E44" s="61">
        <v>46112</v>
      </c>
      <c r="F44" t="s">
        <v>4583</v>
      </c>
    </row>
    <row r="45" spans="1:6">
      <c r="A45">
        <f t="shared" si="3"/>
        <v>44</v>
      </c>
      <c r="B45" t="s">
        <v>4749</v>
      </c>
      <c r="C45" t="str">
        <f t="shared" si="2"/>
        <v>LE7530221924,</v>
      </c>
      <c r="D45">
        <v>530221924</v>
      </c>
      <c r="E45" s="61">
        <v>46112</v>
      </c>
      <c r="F45" t="s">
        <v>4583</v>
      </c>
    </row>
    <row r="46" spans="1:6">
      <c r="A46">
        <f t="shared" si="3"/>
        <v>45</v>
      </c>
      <c r="B46" t="s">
        <v>4751</v>
      </c>
      <c r="C46" t="str">
        <f t="shared" si="2"/>
        <v>LE7530247939,</v>
      </c>
      <c r="D46">
        <v>530247939</v>
      </c>
      <c r="E46" s="61">
        <v>46112</v>
      </c>
      <c r="F46" t="s">
        <v>4583</v>
      </c>
    </row>
    <row r="47" spans="1:6">
      <c r="A47">
        <f t="shared" si="3"/>
        <v>46</v>
      </c>
      <c r="B47" t="s">
        <v>4753</v>
      </c>
      <c r="C47" t="str">
        <f t="shared" si="2"/>
        <v>LE7530252337,</v>
      </c>
      <c r="D47">
        <v>530252337</v>
      </c>
      <c r="E47" s="61">
        <v>46112</v>
      </c>
      <c r="F47" t="s">
        <v>4583</v>
      </c>
    </row>
    <row r="48" spans="1:6">
      <c r="A48">
        <f t="shared" si="3"/>
        <v>47</v>
      </c>
      <c r="B48" t="s">
        <v>4754</v>
      </c>
      <c r="C48" t="str">
        <f t="shared" si="2"/>
        <v>LE7530259765,</v>
      </c>
      <c r="D48">
        <v>530259765</v>
      </c>
      <c r="E48" s="61">
        <v>46112</v>
      </c>
      <c r="F48" t="s">
        <v>4583</v>
      </c>
    </row>
    <row r="49" spans="1:6">
      <c r="A49">
        <f t="shared" si="3"/>
        <v>48</v>
      </c>
      <c r="B49" t="s">
        <v>4756</v>
      </c>
      <c r="C49" t="str">
        <f t="shared" si="2"/>
        <v>LE7530269255,</v>
      </c>
      <c r="D49">
        <v>530269255</v>
      </c>
      <c r="E49" s="61">
        <v>46112</v>
      </c>
      <c r="F49" t="s">
        <v>4583</v>
      </c>
    </row>
    <row r="50" spans="1:6">
      <c r="A50">
        <f t="shared" si="3"/>
        <v>49</v>
      </c>
      <c r="B50" t="s">
        <v>4758</v>
      </c>
      <c r="C50" t="str">
        <f t="shared" si="2"/>
        <v>LE7530285524,</v>
      </c>
      <c r="D50">
        <v>530285524</v>
      </c>
      <c r="E50" s="61">
        <v>46112</v>
      </c>
      <c r="F50" t="s">
        <v>4583</v>
      </c>
    </row>
    <row r="51" spans="1:6">
      <c r="A51">
        <f t="shared" si="3"/>
        <v>50</v>
      </c>
      <c r="B51" t="s">
        <v>4759</v>
      </c>
      <c r="C51" t="str">
        <f t="shared" si="2"/>
        <v>LE7530291494,</v>
      </c>
      <c r="D51">
        <v>530291494</v>
      </c>
      <c r="E51" s="61">
        <v>46112</v>
      </c>
      <c r="F51" t="s">
        <v>4583</v>
      </c>
    </row>
    <row r="52" spans="1:6">
      <c r="A52">
        <f t="shared" si="3"/>
        <v>51</v>
      </c>
      <c r="B52" t="s">
        <v>4761</v>
      </c>
      <c r="C52" t="str">
        <f t="shared" si="2"/>
        <v>LE7530297614,</v>
      </c>
      <c r="D52">
        <v>530297614</v>
      </c>
      <c r="E52" s="61">
        <v>46112</v>
      </c>
      <c r="F52" t="s">
        <v>4583</v>
      </c>
    </row>
    <row r="53" spans="1:6">
      <c r="A53">
        <f t="shared" si="3"/>
        <v>52</v>
      </c>
      <c r="B53" t="s">
        <v>4762</v>
      </c>
      <c r="C53" t="str">
        <f t="shared" si="2"/>
        <v>LE9014256380,</v>
      </c>
      <c r="D53">
        <v>14256380</v>
      </c>
      <c r="E53" s="61">
        <v>46112</v>
      </c>
      <c r="F53" t="s">
        <v>4583</v>
      </c>
    </row>
    <row r="54" spans="1:6">
      <c r="A54">
        <f t="shared" si="3"/>
        <v>53</v>
      </c>
      <c r="B54" t="s">
        <v>4763</v>
      </c>
      <c r="C54" t="str">
        <f t="shared" si="2"/>
        <v>MC7521551611,</v>
      </c>
      <c r="D54">
        <v>521551611</v>
      </c>
      <c r="E54" s="61">
        <v>46112</v>
      </c>
      <c r="F54" t="s">
        <v>4583</v>
      </c>
    </row>
    <row r="55" spans="1:6">
      <c r="A55">
        <f t="shared" si="3"/>
        <v>54</v>
      </c>
      <c r="B55" t="s">
        <v>4764</v>
      </c>
      <c r="C55" t="str">
        <f t="shared" si="2"/>
        <v>MM9014264747,</v>
      </c>
      <c r="D55">
        <v>14264747</v>
      </c>
      <c r="E55" s="61">
        <v>46112</v>
      </c>
      <c r="F55" t="s">
        <v>4583</v>
      </c>
    </row>
    <row r="56" spans="1:6">
      <c r="A56">
        <f t="shared" si="3"/>
        <v>55</v>
      </c>
      <c r="B56" t="s">
        <v>4765</v>
      </c>
      <c r="C56" t="str">
        <f t="shared" si="2"/>
        <v>MM9014264814,</v>
      </c>
      <c r="D56">
        <v>14264814</v>
      </c>
      <c r="E56" s="61">
        <v>46112</v>
      </c>
      <c r="F56" t="s">
        <v>4583</v>
      </c>
    </row>
    <row r="57" spans="1:6">
      <c r="A57">
        <f t="shared" si="3"/>
        <v>56</v>
      </c>
      <c r="B57" t="s">
        <v>4766</v>
      </c>
      <c r="C57" t="str">
        <f t="shared" si="2"/>
        <v>OK7514540921,</v>
      </c>
      <c r="D57">
        <v>514540921</v>
      </c>
      <c r="E57" s="61">
        <v>46112</v>
      </c>
      <c r="F57" t="s">
        <v>4583</v>
      </c>
    </row>
    <row r="58" spans="1:6">
      <c r="A58">
        <f t="shared" si="3"/>
        <v>57</v>
      </c>
      <c r="B58" t="s">
        <v>4760</v>
      </c>
      <c r="C58" t="str">
        <f t="shared" si="2"/>
        <v>LE7530297044,</v>
      </c>
      <c r="D58">
        <v>530297044</v>
      </c>
      <c r="E58" s="61">
        <v>46112</v>
      </c>
      <c r="F58" t="s">
        <v>4633</v>
      </c>
    </row>
    <row r="59" spans="1:6">
      <c r="A59">
        <f t="shared" si="3"/>
        <v>58</v>
      </c>
      <c r="B59" t="s">
        <v>4745</v>
      </c>
      <c r="C59" t="str">
        <f t="shared" si="2"/>
        <v>LE0060258060,</v>
      </c>
      <c r="D59">
        <v>60258060</v>
      </c>
      <c r="E59" s="61">
        <v>46112</v>
      </c>
      <c r="F59" t="e">
        <f>VLOOKUP(D59,[1]Sheet1!$B$2:$C$25,2,)</f>
        <v>#N/A</v>
      </c>
    </row>
    <row r="60" spans="1:6">
      <c r="A60">
        <f t="shared" si="3"/>
        <v>59</v>
      </c>
      <c r="B60" t="s">
        <v>4768</v>
      </c>
      <c r="C60" t="str">
        <f t="shared" si="2"/>
        <v>SH7513694450,</v>
      </c>
      <c r="D60">
        <v>513694450</v>
      </c>
      <c r="E60" s="61">
        <v>46112</v>
      </c>
      <c r="F60" t="e">
        <f>VLOOKUP(D60,[1]Sheet1!$B$2:$C$25,2,)</f>
        <v>#N/A</v>
      </c>
    </row>
    <row r="61" spans="1:6">
      <c r="A61">
        <f t="shared" si="3"/>
        <v>60</v>
      </c>
      <c r="B61" t="s">
        <v>4769</v>
      </c>
      <c r="C61" t="str">
        <f t="shared" si="2"/>
        <v>SM7515321754,</v>
      </c>
      <c r="D61">
        <v>515321754</v>
      </c>
      <c r="E61" s="61">
        <v>46112</v>
      </c>
      <c r="F61" t="e">
        <f>VLOOKUP(D61,[1]Sheet1!$B$2:$C$25,2,)</f>
        <v>#N/A</v>
      </c>
    </row>
    <row r="62" spans="1:6">
      <c r="A62">
        <f t="shared" si="3"/>
        <v>61</v>
      </c>
      <c r="B62" t="s">
        <v>4767</v>
      </c>
      <c r="C62" t="str">
        <f t="shared" si="2"/>
        <v>PW7528755823,</v>
      </c>
      <c r="D62">
        <v>528755823</v>
      </c>
      <c r="E62" s="61">
        <v>46112</v>
      </c>
      <c r="F62" t="e">
        <f>VLOOKUP(D62,[1]Sheet1!$B$2:$C$25,2,)</f>
        <v>#N/A</v>
      </c>
    </row>
    <row r="63" spans="1:6">
      <c r="A63">
        <f t="shared" si="3"/>
        <v>62</v>
      </c>
      <c r="B63" t="s">
        <v>4705</v>
      </c>
      <c r="C63" t="str">
        <f t="shared" si="2"/>
        <v>KI7529073348,</v>
      </c>
      <c r="D63">
        <v>529073348</v>
      </c>
      <c r="E63" s="61">
        <v>46112</v>
      </c>
      <c r="F63" t="e">
        <f>VLOOKUP(D63,[1]Sheet1!$B$2:$C$25,2,)</f>
        <v>#N/A</v>
      </c>
    </row>
    <row r="64" spans="1:6">
      <c r="A64">
        <f t="shared" si="3"/>
        <v>63</v>
      </c>
      <c r="B64" t="s">
        <v>4711</v>
      </c>
      <c r="C64" t="str">
        <f t="shared" si="2"/>
        <v>KI7529095531,</v>
      </c>
      <c r="D64">
        <v>529095531</v>
      </c>
      <c r="E64" s="61">
        <v>46112</v>
      </c>
      <c r="F64" t="e">
        <f>VLOOKUP(D64,[1]Sheet1!$B$2:$C$25,2,)</f>
        <v>#N/A</v>
      </c>
    </row>
    <row r="65" spans="1:6">
      <c r="A65">
        <f t="shared" si="3"/>
        <v>64</v>
      </c>
      <c r="B65" t="s">
        <v>4721</v>
      </c>
      <c r="C65" t="str">
        <f t="shared" si="2"/>
        <v>KI7529147745,</v>
      </c>
      <c r="D65">
        <v>529147745</v>
      </c>
      <c r="E65" s="61">
        <v>46112</v>
      </c>
      <c r="F65" t="e">
        <f>VLOOKUP(D65,[1]Sheet1!$B$2:$C$25,2,)</f>
        <v>#N/A</v>
      </c>
    </row>
    <row r="66" spans="1:6">
      <c r="A66">
        <f t="shared" si="3"/>
        <v>65</v>
      </c>
      <c r="B66" t="s">
        <v>4723</v>
      </c>
      <c r="C66" t="str">
        <f t="shared" ref="C66:C82" si="4">CONCATENATE(B66,",")</f>
        <v>KI7529151960,</v>
      </c>
      <c r="D66">
        <v>529151960</v>
      </c>
      <c r="E66" s="61">
        <v>46112</v>
      </c>
      <c r="F66" t="e">
        <f>VLOOKUP(D66,[1]Sheet1!$B$2:$C$25,2,)</f>
        <v>#N/A</v>
      </c>
    </row>
    <row r="67" spans="1:6">
      <c r="A67">
        <f t="shared" ref="A67:A82" si="5">1+A66</f>
        <v>66</v>
      </c>
      <c r="B67" t="s">
        <v>4724</v>
      </c>
      <c r="C67" t="str">
        <f t="shared" si="4"/>
        <v>KI7529152113,</v>
      </c>
      <c r="D67">
        <v>529152113</v>
      </c>
      <c r="E67" s="61">
        <v>46112</v>
      </c>
      <c r="F67" t="e">
        <f>VLOOKUP(D67,[1]Sheet1!$B$2:$C$25,2,)</f>
        <v>#N/A</v>
      </c>
    </row>
    <row r="68" spans="1:6">
      <c r="A68">
        <f t="shared" si="5"/>
        <v>67</v>
      </c>
      <c r="B68" t="s">
        <v>4725</v>
      </c>
      <c r="C68" t="str">
        <f t="shared" si="4"/>
        <v>KI7529153100,</v>
      </c>
      <c r="D68">
        <v>529153100</v>
      </c>
      <c r="E68" s="61">
        <v>46112</v>
      </c>
      <c r="F68" t="e">
        <f>VLOOKUP(D68,[1]Sheet1!$B$2:$C$25,2,)</f>
        <v>#N/A</v>
      </c>
    </row>
    <row r="69" spans="1:6">
      <c r="A69">
        <f t="shared" si="5"/>
        <v>68</v>
      </c>
      <c r="B69" t="s">
        <v>4727</v>
      </c>
      <c r="C69" t="str">
        <f t="shared" si="4"/>
        <v>KI7529167031,</v>
      </c>
      <c r="D69">
        <v>529167031</v>
      </c>
      <c r="E69" s="61">
        <v>46112</v>
      </c>
      <c r="F69" t="e">
        <f>VLOOKUP(D69,[1]Sheet1!$B$2:$C$25,2,)</f>
        <v>#N/A</v>
      </c>
    </row>
    <row r="70" spans="1:6">
      <c r="A70">
        <f t="shared" si="5"/>
        <v>69</v>
      </c>
      <c r="B70" t="s">
        <v>4732</v>
      </c>
      <c r="C70" t="str">
        <f t="shared" si="4"/>
        <v>KI7529179213,</v>
      </c>
      <c r="D70">
        <v>529179213</v>
      </c>
      <c r="E70" s="61">
        <v>46112</v>
      </c>
      <c r="F70" t="e">
        <f>VLOOKUP(D70,[1]Sheet1!$B$2:$C$25,2,)</f>
        <v>#N/A</v>
      </c>
    </row>
    <row r="71" spans="1:6">
      <c r="A71">
        <f t="shared" si="5"/>
        <v>70</v>
      </c>
      <c r="B71" t="s">
        <v>4735</v>
      </c>
      <c r="C71" t="str">
        <f t="shared" si="4"/>
        <v>KI7529206290,</v>
      </c>
      <c r="D71">
        <v>529206290</v>
      </c>
      <c r="E71" s="61">
        <v>46112</v>
      </c>
      <c r="F71" t="e">
        <f>VLOOKUP(D71,[1]Sheet1!$B$2:$C$25,2,)</f>
        <v>#N/A</v>
      </c>
    </row>
    <row r="72" spans="1:6">
      <c r="A72">
        <f t="shared" si="5"/>
        <v>71</v>
      </c>
      <c r="B72" t="s">
        <v>4750</v>
      </c>
      <c r="C72" t="str">
        <f t="shared" si="4"/>
        <v>LE7530246480,</v>
      </c>
      <c r="D72">
        <v>530246480</v>
      </c>
      <c r="E72" s="61">
        <v>46112</v>
      </c>
      <c r="F72" t="e">
        <f>VLOOKUP(D72,[1]Sheet1!$B$2:$C$25,2,)</f>
        <v>#N/A</v>
      </c>
    </row>
    <row r="73" spans="1:6">
      <c r="A73">
        <f t="shared" si="5"/>
        <v>72</v>
      </c>
      <c r="B73" t="s">
        <v>4752</v>
      </c>
      <c r="C73" t="str">
        <f t="shared" si="4"/>
        <v>LE7530248260,</v>
      </c>
      <c r="D73">
        <v>530248260</v>
      </c>
      <c r="E73" s="61">
        <v>46112</v>
      </c>
      <c r="F73" t="e">
        <f>VLOOKUP(D73,[1]Sheet1!$B$2:$C$25,2,)</f>
        <v>#N/A</v>
      </c>
    </row>
    <row r="74" spans="1:6">
      <c r="A74">
        <f t="shared" si="5"/>
        <v>73</v>
      </c>
      <c r="B74" t="s">
        <v>4755</v>
      </c>
      <c r="C74" t="str">
        <f t="shared" si="4"/>
        <v>LE7530263642,</v>
      </c>
      <c r="D74">
        <v>530263642</v>
      </c>
      <c r="E74" s="61">
        <v>46112</v>
      </c>
      <c r="F74" t="e">
        <f>VLOOKUP(D74,[1]Sheet1!$B$2:$C$25,2,)</f>
        <v>#N/A</v>
      </c>
    </row>
    <row r="75" spans="1:6">
      <c r="A75">
        <f t="shared" si="5"/>
        <v>74</v>
      </c>
      <c r="B75" t="s">
        <v>4757</v>
      </c>
      <c r="C75" t="str">
        <f t="shared" si="4"/>
        <v>LE7530270190,</v>
      </c>
      <c r="D75">
        <v>530270190</v>
      </c>
      <c r="E75" s="61">
        <v>46112</v>
      </c>
      <c r="F75" t="e">
        <f>VLOOKUP(D75,[1]Sheet1!$B$2:$C$25,2,)</f>
        <v>#N/A</v>
      </c>
    </row>
    <row r="76" spans="1:6">
      <c r="A76">
        <f t="shared" si="5"/>
        <v>75</v>
      </c>
      <c r="B76" t="s">
        <v>4695</v>
      </c>
      <c r="C76" t="str">
        <f t="shared" si="4"/>
        <v>ID7530642725,</v>
      </c>
      <c r="D76">
        <v>530642725</v>
      </c>
      <c r="E76" s="61">
        <v>46112</v>
      </c>
      <c r="F76" t="e">
        <f>VLOOKUP(D76,[1]Sheet1!$B$2:$C$25,2,)</f>
        <v>#N/A</v>
      </c>
    </row>
    <row r="77" spans="1:6">
      <c r="A77">
        <f t="shared" si="5"/>
        <v>76</v>
      </c>
      <c r="B77" t="s">
        <v>4697</v>
      </c>
      <c r="C77" t="str">
        <f t="shared" si="4"/>
        <v>ID7530642859,</v>
      </c>
      <c r="D77">
        <v>530642859</v>
      </c>
      <c r="E77" s="61">
        <v>46112</v>
      </c>
      <c r="F77" t="e">
        <f>VLOOKUP(D77,[1]Sheet1!$B$2:$C$25,2,)</f>
        <v>#N/A</v>
      </c>
    </row>
    <row r="78" spans="1:6">
      <c r="A78">
        <f t="shared" si="5"/>
        <v>77</v>
      </c>
      <c r="B78" t="s">
        <v>4699</v>
      </c>
      <c r="C78" t="str">
        <f t="shared" si="4"/>
        <v>ID7530643025,</v>
      </c>
      <c r="D78">
        <v>530643025</v>
      </c>
      <c r="E78" s="61">
        <v>46112</v>
      </c>
      <c r="F78" t="e">
        <f>VLOOKUP(D78,[1]Sheet1!$B$2:$C$25,2,)</f>
        <v>#N/A</v>
      </c>
    </row>
    <row r="79" spans="1:6">
      <c r="A79">
        <f t="shared" si="5"/>
        <v>78</v>
      </c>
      <c r="B79" t="s">
        <v>4770</v>
      </c>
      <c r="C79" t="str">
        <f t="shared" si="4"/>
        <v>WZ7530929360,</v>
      </c>
      <c r="D79">
        <v>530929360</v>
      </c>
      <c r="E79" s="61">
        <v>46112</v>
      </c>
      <c r="F79" t="e">
        <f>VLOOKUP(D79,[1]Sheet1!$B$2:$C$25,2,)</f>
        <v>#N/A</v>
      </c>
    </row>
    <row r="80" spans="1:6">
      <c r="A80">
        <f t="shared" si="5"/>
        <v>79</v>
      </c>
      <c r="B80" t="s">
        <v>4701</v>
      </c>
      <c r="C80" t="str">
        <f t="shared" si="4"/>
        <v>JR7531018002,</v>
      </c>
      <c r="D80">
        <v>531018002</v>
      </c>
      <c r="E80" s="61">
        <v>46112</v>
      </c>
      <c r="F80" t="e">
        <f>VLOOKUP(D80,[1]Sheet1!$B$2:$C$25,2,)</f>
        <v>#N/A</v>
      </c>
    </row>
    <row r="81" spans="1:6">
      <c r="A81">
        <f t="shared" si="5"/>
        <v>80</v>
      </c>
      <c r="B81" t="s">
        <v>4739</v>
      </c>
      <c r="C81" t="str">
        <f t="shared" si="4"/>
        <v>KI7531501519,</v>
      </c>
      <c r="D81">
        <v>531501519</v>
      </c>
      <c r="E81" s="61">
        <v>46112</v>
      </c>
      <c r="F81" t="e">
        <f>VLOOKUP(D81,[1]Sheet1!$B$2:$C$25,2,)</f>
        <v>#N/A</v>
      </c>
    </row>
    <row r="82" spans="1:6">
      <c r="A82">
        <f t="shared" si="5"/>
        <v>81</v>
      </c>
      <c r="B82" t="s">
        <v>4740</v>
      </c>
      <c r="C82" t="str">
        <f t="shared" si="4"/>
        <v>KI7531525523,</v>
      </c>
      <c r="D82">
        <v>531525523</v>
      </c>
      <c r="E82" s="61">
        <v>46112</v>
      </c>
      <c r="F82" t="e">
        <f>VLOOKUP(D82,[1]Sheet1!$B$2:$C$25,2,)</f>
        <v>#N/A</v>
      </c>
    </row>
    <row r="83" spans="1:6">
      <c r="A83">
        <f t="shared" ref="A83:A133" si="6">1+A82</f>
        <v>82</v>
      </c>
      <c r="B83" t="s">
        <v>4779</v>
      </c>
      <c r="C83" t="str">
        <f t="shared" ref="C83:C133" si="7">CONCATENATE(B83,",")</f>
        <v>FS7527819717,</v>
      </c>
      <c r="D83">
        <v>527819717</v>
      </c>
      <c r="E83" s="60">
        <v>46114</v>
      </c>
      <c r="F83" t="s">
        <v>4830</v>
      </c>
    </row>
    <row r="84" spans="1:6">
      <c r="A84">
        <f t="shared" si="6"/>
        <v>83</v>
      </c>
      <c r="B84" t="s">
        <v>4780</v>
      </c>
      <c r="C84" t="str">
        <f t="shared" si="7"/>
        <v>FS7531641356,</v>
      </c>
      <c r="D84">
        <v>531641356</v>
      </c>
      <c r="E84" s="60">
        <v>46114</v>
      </c>
      <c r="F84" t="s">
        <v>4830</v>
      </c>
    </row>
    <row r="85" spans="1:6">
      <c r="A85">
        <f t="shared" si="6"/>
        <v>84</v>
      </c>
      <c r="B85" t="s">
        <v>4781</v>
      </c>
      <c r="C85" t="str">
        <f t="shared" si="7"/>
        <v>SL0061129741,</v>
      </c>
      <c r="D85">
        <v>61129741</v>
      </c>
      <c r="E85" s="60">
        <v>46114</v>
      </c>
      <c r="F85" t="s">
        <v>4830</v>
      </c>
    </row>
    <row r="86" spans="1:6">
      <c r="A86">
        <f t="shared" si="6"/>
        <v>85</v>
      </c>
      <c r="B86" t="s">
        <v>4782</v>
      </c>
      <c r="C86" t="str">
        <f t="shared" si="7"/>
        <v>LE7530248175,</v>
      </c>
      <c r="D86">
        <v>530248175</v>
      </c>
      <c r="E86" s="60">
        <v>46114</v>
      </c>
      <c r="F86" t="s">
        <v>4830</v>
      </c>
    </row>
    <row r="87" spans="1:6">
      <c r="A87">
        <f t="shared" si="6"/>
        <v>86</v>
      </c>
      <c r="B87" t="s">
        <v>4783</v>
      </c>
      <c r="C87" t="str">
        <f t="shared" si="7"/>
        <v>ID7530649712,</v>
      </c>
      <c r="D87">
        <v>530649712</v>
      </c>
      <c r="E87" s="60">
        <v>46114</v>
      </c>
      <c r="F87" t="s">
        <v>4830</v>
      </c>
    </row>
    <row r="88" spans="1:6">
      <c r="A88">
        <f t="shared" si="6"/>
        <v>87</v>
      </c>
      <c r="B88" t="s">
        <v>4784</v>
      </c>
      <c r="C88" t="str">
        <f t="shared" si="7"/>
        <v>PW7528756349,</v>
      </c>
      <c r="D88">
        <v>528756349</v>
      </c>
      <c r="E88" s="60">
        <v>46114</v>
      </c>
      <c r="F88" t="s">
        <v>4830</v>
      </c>
    </row>
    <row r="89" spans="1:6">
      <c r="A89">
        <f t="shared" si="6"/>
        <v>88</v>
      </c>
      <c r="B89" t="s">
        <v>4785</v>
      </c>
      <c r="C89" t="str">
        <f t="shared" si="7"/>
        <v>SQ9014264047,</v>
      </c>
      <c r="D89">
        <v>14264047</v>
      </c>
      <c r="E89" s="60">
        <v>46114</v>
      </c>
      <c r="F89" t="s">
        <v>4830</v>
      </c>
    </row>
    <row r="90" spans="1:6">
      <c r="A90">
        <f t="shared" si="6"/>
        <v>89</v>
      </c>
      <c r="B90" t="s">
        <v>4786</v>
      </c>
      <c r="C90" t="str">
        <f t="shared" si="7"/>
        <v>MM7515549272,</v>
      </c>
      <c r="D90">
        <v>515549272</v>
      </c>
      <c r="E90" s="60">
        <v>46114</v>
      </c>
      <c r="F90" t="s">
        <v>4830</v>
      </c>
    </row>
    <row r="91" spans="1:6">
      <c r="A91">
        <f t="shared" si="6"/>
        <v>90</v>
      </c>
      <c r="B91" t="s">
        <v>4787</v>
      </c>
      <c r="C91" t="str">
        <f t="shared" si="7"/>
        <v>KN9014273799,</v>
      </c>
      <c r="D91">
        <v>14273799</v>
      </c>
      <c r="E91" s="60">
        <v>46114</v>
      </c>
      <c r="F91" t="s">
        <v>4830</v>
      </c>
    </row>
    <row r="92" spans="1:6">
      <c r="A92">
        <f t="shared" si="6"/>
        <v>91</v>
      </c>
      <c r="B92" t="s">
        <v>4788</v>
      </c>
      <c r="C92" t="str">
        <f t="shared" si="7"/>
        <v>GW9014264209,</v>
      </c>
      <c r="D92">
        <v>14264209</v>
      </c>
      <c r="E92" s="60">
        <v>46114</v>
      </c>
      <c r="F92" t="s">
        <v>4830</v>
      </c>
    </row>
    <row r="93" spans="1:6">
      <c r="A93">
        <f t="shared" si="6"/>
        <v>92</v>
      </c>
      <c r="B93" t="s">
        <v>4789</v>
      </c>
      <c r="C93" t="str">
        <f t="shared" si="7"/>
        <v>LE7530298131,</v>
      </c>
      <c r="D93">
        <v>530298131</v>
      </c>
      <c r="E93" s="60">
        <v>46114</v>
      </c>
      <c r="F93" t="s">
        <v>4830</v>
      </c>
    </row>
    <row r="94" spans="1:6">
      <c r="A94">
        <f t="shared" si="6"/>
        <v>93</v>
      </c>
      <c r="B94" t="s">
        <v>4790</v>
      </c>
      <c r="C94" t="str">
        <f t="shared" si="7"/>
        <v>FS7527855977,</v>
      </c>
      <c r="D94">
        <v>527855977</v>
      </c>
      <c r="E94" s="60">
        <v>46114</v>
      </c>
      <c r="F94" t="s">
        <v>4830</v>
      </c>
    </row>
    <row r="95" spans="1:6">
      <c r="A95">
        <f t="shared" si="6"/>
        <v>94</v>
      </c>
      <c r="B95" t="s">
        <v>4791</v>
      </c>
      <c r="C95" t="str">
        <f t="shared" si="7"/>
        <v>LE7530360661,</v>
      </c>
      <c r="D95">
        <v>530360661</v>
      </c>
      <c r="E95" s="60">
        <v>46114</v>
      </c>
      <c r="F95" t="s">
        <v>4830</v>
      </c>
    </row>
    <row r="96" spans="1:6">
      <c r="A96">
        <f t="shared" si="6"/>
        <v>95</v>
      </c>
      <c r="B96" t="s">
        <v>4792</v>
      </c>
      <c r="C96" t="str">
        <f t="shared" si="7"/>
        <v>KI7529146689,</v>
      </c>
      <c r="D96">
        <v>529146689</v>
      </c>
      <c r="E96" s="60">
        <v>46114</v>
      </c>
      <c r="F96" t="s">
        <v>4830</v>
      </c>
    </row>
    <row r="97" spans="1:6">
      <c r="A97">
        <f t="shared" si="6"/>
        <v>96</v>
      </c>
      <c r="B97" t="s">
        <v>4793</v>
      </c>
      <c r="C97" t="str">
        <f t="shared" si="7"/>
        <v>SA7525935058,</v>
      </c>
      <c r="D97">
        <v>525935058</v>
      </c>
      <c r="E97" s="60">
        <v>46114</v>
      </c>
      <c r="F97" t="s">
        <v>4830</v>
      </c>
    </row>
    <row r="98" spans="1:6">
      <c r="A98">
        <f t="shared" si="6"/>
        <v>97</v>
      </c>
      <c r="B98" t="s">
        <v>4794</v>
      </c>
      <c r="C98" t="str">
        <f t="shared" si="7"/>
        <v>LE0061201970,</v>
      </c>
      <c r="D98">
        <v>61201970</v>
      </c>
      <c r="E98" s="60">
        <v>46114</v>
      </c>
      <c r="F98" t="s">
        <v>4830</v>
      </c>
    </row>
    <row r="99" spans="1:6">
      <c r="A99">
        <f t="shared" si="6"/>
        <v>98</v>
      </c>
      <c r="B99" t="s">
        <v>4795</v>
      </c>
      <c r="C99" t="str">
        <f t="shared" si="7"/>
        <v>SA7525935859,</v>
      </c>
      <c r="D99">
        <v>525935859</v>
      </c>
      <c r="E99" s="60">
        <v>46114</v>
      </c>
      <c r="F99" t="s">
        <v>4830</v>
      </c>
    </row>
    <row r="100" spans="1:6">
      <c r="A100">
        <f t="shared" si="6"/>
        <v>99</v>
      </c>
      <c r="B100" t="s">
        <v>4796</v>
      </c>
      <c r="C100" t="str">
        <f t="shared" si="7"/>
        <v>AM7530963968,</v>
      </c>
      <c r="D100">
        <v>530963968</v>
      </c>
      <c r="E100" s="60">
        <v>46114</v>
      </c>
      <c r="F100" t="s">
        <v>4830</v>
      </c>
    </row>
    <row r="101" spans="1:6">
      <c r="A101">
        <f t="shared" si="6"/>
        <v>100</v>
      </c>
      <c r="B101" t="s">
        <v>4797</v>
      </c>
      <c r="C101" t="str">
        <f t="shared" si="7"/>
        <v>ID0061019585,</v>
      </c>
      <c r="D101">
        <v>61019585</v>
      </c>
      <c r="E101" s="60">
        <v>46114</v>
      </c>
      <c r="F101" t="s">
        <v>4830</v>
      </c>
    </row>
    <row r="102" spans="1:6">
      <c r="A102">
        <f t="shared" si="6"/>
        <v>101</v>
      </c>
      <c r="B102" t="s">
        <v>4798</v>
      </c>
      <c r="C102" t="str">
        <f t="shared" si="7"/>
        <v>JM7531185411,</v>
      </c>
      <c r="D102">
        <v>531185411</v>
      </c>
      <c r="E102" s="60">
        <v>46114</v>
      </c>
      <c r="F102" t="s">
        <v>4830</v>
      </c>
    </row>
    <row r="103" spans="1:6">
      <c r="A103">
        <f t="shared" si="6"/>
        <v>102</v>
      </c>
      <c r="B103" t="s">
        <v>4799</v>
      </c>
      <c r="C103" t="str">
        <f t="shared" si="7"/>
        <v>KI7529321709,</v>
      </c>
      <c r="D103">
        <v>529321709</v>
      </c>
      <c r="E103" s="60">
        <v>46114</v>
      </c>
      <c r="F103" t="s">
        <v>4830</v>
      </c>
    </row>
    <row r="104" spans="1:6">
      <c r="A104">
        <f t="shared" si="6"/>
        <v>103</v>
      </c>
      <c r="B104" t="s">
        <v>4800</v>
      </c>
      <c r="C104" t="str">
        <f t="shared" si="7"/>
        <v>ID0061019593,</v>
      </c>
      <c r="D104">
        <v>61019593</v>
      </c>
      <c r="E104" s="60">
        <v>46114</v>
      </c>
      <c r="F104" t="s">
        <v>4830</v>
      </c>
    </row>
    <row r="105" spans="1:6">
      <c r="A105">
        <f t="shared" si="6"/>
        <v>104</v>
      </c>
      <c r="B105" t="s">
        <v>4801</v>
      </c>
      <c r="C105" t="str">
        <f t="shared" si="7"/>
        <v>FS7527910662,</v>
      </c>
      <c r="D105">
        <v>527910662</v>
      </c>
      <c r="E105" s="60">
        <v>46114</v>
      </c>
      <c r="F105" t="s">
        <v>4830</v>
      </c>
    </row>
    <row r="106" spans="1:6">
      <c r="A106">
        <f t="shared" si="6"/>
        <v>105</v>
      </c>
      <c r="B106" t="s">
        <v>4802</v>
      </c>
      <c r="C106" t="str">
        <f t="shared" si="7"/>
        <v>KI7529274669,</v>
      </c>
      <c r="D106">
        <v>529274669</v>
      </c>
      <c r="E106" s="60">
        <v>46114</v>
      </c>
      <c r="F106" t="s">
        <v>4830</v>
      </c>
    </row>
    <row r="107" spans="1:6">
      <c r="A107">
        <f t="shared" si="6"/>
        <v>106</v>
      </c>
      <c r="B107" t="s">
        <v>4803</v>
      </c>
      <c r="C107" t="str">
        <f t="shared" si="7"/>
        <v>FS7527901468,</v>
      </c>
      <c r="D107">
        <v>527901468</v>
      </c>
      <c r="E107" s="60">
        <v>46114</v>
      </c>
      <c r="F107" t="s">
        <v>4830</v>
      </c>
    </row>
    <row r="108" spans="1:6">
      <c r="A108">
        <f t="shared" si="6"/>
        <v>107</v>
      </c>
      <c r="B108" t="s">
        <v>4804</v>
      </c>
      <c r="C108" t="str">
        <f t="shared" si="7"/>
        <v>KI7529169075,</v>
      </c>
      <c r="D108">
        <v>529169075</v>
      </c>
      <c r="E108" s="60">
        <v>46114</v>
      </c>
      <c r="F108" t="s">
        <v>4830</v>
      </c>
    </row>
    <row r="109" spans="1:6">
      <c r="A109">
        <f t="shared" si="6"/>
        <v>108</v>
      </c>
      <c r="B109" t="s">
        <v>4805</v>
      </c>
      <c r="C109" t="str">
        <f t="shared" si="7"/>
        <v>FS7527909267,</v>
      </c>
      <c r="D109">
        <v>527909267</v>
      </c>
      <c r="E109" s="60">
        <v>46114</v>
      </c>
      <c r="F109" t="s">
        <v>4830</v>
      </c>
    </row>
    <row r="110" spans="1:6">
      <c r="A110">
        <f t="shared" si="6"/>
        <v>109</v>
      </c>
      <c r="B110" t="s">
        <v>4806</v>
      </c>
      <c r="C110" t="str">
        <f t="shared" si="7"/>
        <v>SA7525931290,</v>
      </c>
      <c r="D110">
        <v>525931290</v>
      </c>
      <c r="E110" s="60">
        <v>46114</v>
      </c>
      <c r="F110" t="s">
        <v>4830</v>
      </c>
    </row>
    <row r="111" spans="1:6">
      <c r="A111">
        <f t="shared" si="6"/>
        <v>110</v>
      </c>
      <c r="B111" t="s">
        <v>4807</v>
      </c>
      <c r="C111" t="str">
        <f t="shared" si="7"/>
        <v>FS7527872079,</v>
      </c>
      <c r="D111">
        <v>527872079</v>
      </c>
      <c r="E111" s="60">
        <v>46114</v>
      </c>
      <c r="F111" t="s">
        <v>4830</v>
      </c>
    </row>
    <row r="112" spans="1:6">
      <c r="A112">
        <f t="shared" si="6"/>
        <v>111</v>
      </c>
      <c r="B112" t="s">
        <v>4808</v>
      </c>
      <c r="C112" t="str">
        <f t="shared" si="7"/>
        <v>MX0061306126,</v>
      </c>
      <c r="D112">
        <v>61306126</v>
      </c>
      <c r="E112" s="60">
        <v>46114</v>
      </c>
      <c r="F112" t="s">
        <v>4830</v>
      </c>
    </row>
    <row r="113" spans="1:6">
      <c r="A113">
        <f t="shared" si="6"/>
        <v>112</v>
      </c>
      <c r="B113" t="s">
        <v>4809</v>
      </c>
      <c r="C113" t="str">
        <f t="shared" si="7"/>
        <v>FS7531634373,</v>
      </c>
      <c r="D113">
        <v>531634373</v>
      </c>
      <c r="E113" s="60">
        <v>46114</v>
      </c>
      <c r="F113" t="s">
        <v>4830</v>
      </c>
    </row>
    <row r="114" spans="1:6">
      <c r="A114">
        <f t="shared" si="6"/>
        <v>113</v>
      </c>
      <c r="B114" t="s">
        <v>4810</v>
      </c>
      <c r="C114" t="str">
        <f t="shared" si="7"/>
        <v>FS7527888020,</v>
      </c>
      <c r="D114">
        <v>527888020</v>
      </c>
      <c r="E114" s="60">
        <v>46114</v>
      </c>
      <c r="F114" t="s">
        <v>4830</v>
      </c>
    </row>
    <row r="115" spans="1:6">
      <c r="A115">
        <f t="shared" si="6"/>
        <v>114</v>
      </c>
      <c r="B115" t="s">
        <v>4811</v>
      </c>
      <c r="C115" t="str">
        <f t="shared" si="7"/>
        <v>LE7530305975,</v>
      </c>
      <c r="D115">
        <v>530305975</v>
      </c>
      <c r="E115" s="60">
        <v>46114</v>
      </c>
      <c r="F115" t="s">
        <v>4830</v>
      </c>
    </row>
    <row r="116" spans="1:6">
      <c r="A116">
        <f t="shared" si="6"/>
        <v>115</v>
      </c>
      <c r="B116" t="s">
        <v>4812</v>
      </c>
      <c r="C116" t="str">
        <f t="shared" si="7"/>
        <v>MN7513226424,</v>
      </c>
      <c r="D116">
        <v>513226424</v>
      </c>
      <c r="E116" s="60">
        <v>46114</v>
      </c>
      <c r="F116" t="s">
        <v>4830</v>
      </c>
    </row>
    <row r="117" spans="1:6">
      <c r="A117">
        <f t="shared" si="6"/>
        <v>116</v>
      </c>
      <c r="B117" t="s">
        <v>4813</v>
      </c>
      <c r="C117" t="str">
        <f t="shared" si="7"/>
        <v>PW7528757592,</v>
      </c>
      <c r="D117">
        <v>528757592</v>
      </c>
      <c r="E117" s="60">
        <v>46114</v>
      </c>
      <c r="F117" t="s">
        <v>4830</v>
      </c>
    </row>
    <row r="118" spans="1:6">
      <c r="A118">
        <f t="shared" si="6"/>
        <v>117</v>
      </c>
      <c r="B118" t="s">
        <v>4814</v>
      </c>
      <c r="C118" t="str">
        <f t="shared" si="7"/>
        <v>KI7529183113,</v>
      </c>
      <c r="D118">
        <v>529183113</v>
      </c>
      <c r="E118" s="60">
        <v>46114</v>
      </c>
      <c r="F118" t="s">
        <v>4830</v>
      </c>
    </row>
    <row r="119" spans="1:6">
      <c r="A119">
        <f t="shared" si="6"/>
        <v>118</v>
      </c>
      <c r="B119" t="s">
        <v>4815</v>
      </c>
      <c r="C119" t="str">
        <f t="shared" si="7"/>
        <v>LE7530285820,</v>
      </c>
      <c r="D119">
        <v>530285820</v>
      </c>
      <c r="E119" s="60">
        <v>46114</v>
      </c>
      <c r="F119" t="s">
        <v>4830</v>
      </c>
    </row>
    <row r="120" spans="1:6">
      <c r="A120">
        <f t="shared" si="6"/>
        <v>119</v>
      </c>
      <c r="B120" t="s">
        <v>4816</v>
      </c>
      <c r="C120" t="str">
        <f t="shared" si="7"/>
        <v>FS7527907070,</v>
      </c>
      <c r="D120">
        <v>527907070</v>
      </c>
      <c r="E120" s="60">
        <v>46114</v>
      </c>
      <c r="F120" t="s">
        <v>4830</v>
      </c>
    </row>
    <row r="121" spans="1:6">
      <c r="A121">
        <f t="shared" si="6"/>
        <v>120</v>
      </c>
      <c r="B121" t="s">
        <v>4817</v>
      </c>
      <c r="C121" t="str">
        <f t="shared" si="7"/>
        <v>MX7531120523,</v>
      </c>
      <c r="D121">
        <v>531120523</v>
      </c>
      <c r="E121" s="60">
        <v>46114</v>
      </c>
      <c r="F121" t="s">
        <v>4830</v>
      </c>
    </row>
    <row r="122" spans="1:6">
      <c r="A122">
        <f t="shared" si="6"/>
        <v>121</v>
      </c>
      <c r="B122" t="s">
        <v>4818</v>
      </c>
      <c r="C122" t="str">
        <f t="shared" si="7"/>
        <v>OK7514543603,</v>
      </c>
      <c r="D122">
        <v>514543603</v>
      </c>
      <c r="E122" s="60">
        <v>46114</v>
      </c>
      <c r="F122" t="s">
        <v>4830</v>
      </c>
    </row>
    <row r="123" spans="1:6">
      <c r="A123">
        <f t="shared" si="6"/>
        <v>122</v>
      </c>
      <c r="B123" t="s">
        <v>4819</v>
      </c>
      <c r="C123" t="str">
        <f t="shared" si="7"/>
        <v>SL7530712090,</v>
      </c>
      <c r="D123">
        <v>530712090</v>
      </c>
      <c r="E123" s="60">
        <v>46114</v>
      </c>
      <c r="F123" t="s">
        <v>4830</v>
      </c>
    </row>
    <row r="124" spans="1:6">
      <c r="A124">
        <f t="shared" si="6"/>
        <v>123</v>
      </c>
      <c r="B124" t="s">
        <v>4820</v>
      </c>
      <c r="C124" t="str">
        <f t="shared" si="7"/>
        <v>PW7531234644,</v>
      </c>
      <c r="D124">
        <v>531234644</v>
      </c>
      <c r="E124" s="60">
        <v>46114</v>
      </c>
      <c r="F124" t="s">
        <v>4830</v>
      </c>
    </row>
    <row r="125" spans="1:6">
      <c r="A125">
        <f t="shared" si="6"/>
        <v>124</v>
      </c>
      <c r="B125" t="s">
        <v>4821</v>
      </c>
      <c r="C125" t="str">
        <f t="shared" si="7"/>
        <v>MX7531119659,</v>
      </c>
      <c r="D125">
        <v>531119659</v>
      </c>
      <c r="E125" s="60">
        <v>46114</v>
      </c>
      <c r="F125" t="s">
        <v>4830</v>
      </c>
    </row>
    <row r="126" spans="1:6">
      <c r="A126">
        <f t="shared" si="6"/>
        <v>125</v>
      </c>
      <c r="B126" t="s">
        <v>4822</v>
      </c>
      <c r="C126" t="str">
        <f t="shared" si="7"/>
        <v>JM7531184889,</v>
      </c>
      <c r="D126">
        <v>531184889</v>
      </c>
      <c r="E126" s="60">
        <v>46114</v>
      </c>
      <c r="F126" t="s">
        <v>4830</v>
      </c>
    </row>
    <row r="127" spans="1:6">
      <c r="A127">
        <f t="shared" si="6"/>
        <v>126</v>
      </c>
      <c r="B127" t="s">
        <v>4823</v>
      </c>
      <c r="C127" t="str">
        <f t="shared" si="7"/>
        <v>KI7529278296,</v>
      </c>
      <c r="D127">
        <v>529278296</v>
      </c>
      <c r="E127" s="60">
        <v>46114</v>
      </c>
      <c r="F127" t="s">
        <v>4830</v>
      </c>
    </row>
    <row r="128" spans="1:6">
      <c r="A128">
        <f t="shared" si="6"/>
        <v>127</v>
      </c>
      <c r="B128" t="s">
        <v>4824</v>
      </c>
      <c r="C128" t="str">
        <f t="shared" si="7"/>
        <v>SA7525929577,</v>
      </c>
      <c r="D128">
        <v>525929577</v>
      </c>
      <c r="E128" s="60">
        <v>46114</v>
      </c>
      <c r="F128" t="s">
        <v>4830</v>
      </c>
    </row>
    <row r="129" spans="1:6">
      <c r="A129">
        <f t="shared" si="6"/>
        <v>128</v>
      </c>
      <c r="B129" t="s">
        <v>4825</v>
      </c>
      <c r="C129" t="str">
        <f t="shared" si="7"/>
        <v>ID7530653683,</v>
      </c>
      <c r="D129">
        <v>530653683</v>
      </c>
      <c r="E129" s="60">
        <v>46114</v>
      </c>
      <c r="F129" t="s">
        <v>4830</v>
      </c>
    </row>
    <row r="130" spans="1:6">
      <c r="A130">
        <f t="shared" si="6"/>
        <v>129</v>
      </c>
      <c r="B130" t="s">
        <v>4826</v>
      </c>
      <c r="C130" t="str">
        <f t="shared" si="7"/>
        <v>KI7529209313,</v>
      </c>
      <c r="D130">
        <v>529209313</v>
      </c>
      <c r="E130" s="60">
        <v>46114</v>
      </c>
      <c r="F130" t="s">
        <v>4830</v>
      </c>
    </row>
    <row r="131" spans="1:6">
      <c r="A131">
        <f t="shared" si="6"/>
        <v>130</v>
      </c>
      <c r="B131" t="s">
        <v>4827</v>
      </c>
      <c r="C131" t="str">
        <f t="shared" si="7"/>
        <v>SL7524763160,</v>
      </c>
      <c r="D131">
        <v>524763160</v>
      </c>
      <c r="E131" s="60">
        <v>46114</v>
      </c>
      <c r="F131" t="s">
        <v>4830</v>
      </c>
    </row>
    <row r="132" spans="1:6">
      <c r="A132">
        <f t="shared" si="6"/>
        <v>131</v>
      </c>
      <c r="B132" t="s">
        <v>4828</v>
      </c>
      <c r="C132" t="str">
        <f t="shared" si="7"/>
        <v>NO7531698350,</v>
      </c>
      <c r="D132">
        <v>531698350</v>
      </c>
      <c r="E132" s="60">
        <v>46114</v>
      </c>
      <c r="F132" t="s">
        <v>4830</v>
      </c>
    </row>
    <row r="133" spans="1:6">
      <c r="A133">
        <f t="shared" si="6"/>
        <v>132</v>
      </c>
      <c r="B133" t="s">
        <v>4829</v>
      </c>
      <c r="C133" t="str">
        <f t="shared" si="7"/>
        <v>FS7527840072,</v>
      </c>
      <c r="D133">
        <v>527840072</v>
      </c>
      <c r="E133" s="60">
        <v>46114</v>
      </c>
      <c r="F133" t="s">
        <v>4830</v>
      </c>
    </row>
  </sheetData>
  <autoFilter ref="A1:F301" xr:uid="{DE3E63BD-C08A-48FC-882F-29E4656318E7}">
    <sortState xmlns:xlrd2="http://schemas.microsoft.com/office/spreadsheetml/2017/richdata2" ref="A2:F83">
      <sortCondition ref="E1:E301"/>
    </sortState>
  </autoFilter>
  <conditionalFormatting sqref="B1:B1048576">
    <cfRule type="duplicateValues" dxfId="802" priority="2"/>
    <cfRule type="duplicateValues" dxfId="801" priority="9296"/>
    <cfRule type="duplicateValues" dxfId="800" priority="9297"/>
  </conditionalFormatting>
  <conditionalFormatting sqref="B1:C2 B221:C1048576 B3:B142 C3:C220">
    <cfRule type="duplicateValues" dxfId="799" priority="4"/>
  </conditionalFormatting>
  <conditionalFormatting sqref="D1:D1048576">
    <cfRule type="duplicateValues" dxfId="798" priority="919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A61B-D5A6-41C9-B81E-F505941F0189}">
  <dimension ref="A1:R45"/>
  <sheetViews>
    <sheetView zoomScaleNormal="100" workbookViewId="0">
      <selection activeCell="F3" sqref="F3"/>
    </sheetView>
  </sheetViews>
  <sheetFormatPr defaultRowHeight="15"/>
  <cols>
    <col min="1" max="1" width="10" bestFit="1" customWidth="1"/>
    <col min="2" max="2" width="19.42578125" bestFit="1" customWidth="1"/>
    <col min="3" max="3" width="8.42578125" bestFit="1" customWidth="1"/>
    <col min="4" max="4" width="12.140625" bestFit="1" customWidth="1"/>
    <col min="5" max="5" width="16.140625" bestFit="1" customWidth="1"/>
    <col min="6" max="6" width="18.85546875" bestFit="1" customWidth="1"/>
    <col min="7" max="7" width="13.42578125" bestFit="1" customWidth="1"/>
    <col min="8" max="8" width="14.85546875" bestFit="1" customWidth="1"/>
    <col min="9" max="9" width="15.140625" bestFit="1" customWidth="1"/>
    <col min="10" max="10" width="11.5703125" bestFit="1" customWidth="1"/>
    <col min="13" max="13" width="8.42578125" bestFit="1" customWidth="1"/>
    <col min="14" max="14" width="9.85546875" bestFit="1" customWidth="1"/>
    <col min="15" max="15" width="16.140625" bestFit="1" customWidth="1"/>
    <col min="16" max="16" width="16.5703125" bestFit="1" customWidth="1"/>
    <col min="17" max="17" width="13.42578125" bestFit="1" customWidth="1"/>
    <col min="18" max="18" width="12.5703125" bestFit="1" customWidth="1"/>
  </cols>
  <sheetData>
    <row r="1" spans="1:18" ht="16.5" thickBot="1">
      <c r="A1" s="86" t="s">
        <v>4471</v>
      </c>
      <c r="B1" s="87" t="s">
        <v>4472</v>
      </c>
      <c r="C1" s="87" t="s">
        <v>4473</v>
      </c>
      <c r="D1" s="87" t="s">
        <v>4474</v>
      </c>
      <c r="E1" s="117" t="s">
        <v>74</v>
      </c>
      <c r="F1" s="87" t="s">
        <v>4489</v>
      </c>
      <c r="G1" s="87" t="s">
        <v>117</v>
      </c>
      <c r="H1" s="87" t="s">
        <v>4475</v>
      </c>
      <c r="I1" s="87" t="s">
        <v>4476</v>
      </c>
      <c r="J1" s="87" t="s">
        <v>3</v>
      </c>
      <c r="L1" s="124" t="s">
        <v>4562</v>
      </c>
      <c r="M1" s="124" t="s">
        <v>4473</v>
      </c>
      <c r="N1" s="124" t="s">
        <v>4474</v>
      </c>
      <c r="O1" s="124" t="s">
        <v>74</v>
      </c>
      <c r="P1" s="124" t="s">
        <v>4489</v>
      </c>
      <c r="Q1" s="124" t="s">
        <v>117</v>
      </c>
      <c r="R1" s="124" t="s">
        <v>4475</v>
      </c>
    </row>
    <row r="2" spans="1:18" ht="16.5" thickBot="1">
      <c r="A2" s="88" t="s">
        <v>4477</v>
      </c>
      <c r="B2" s="89" t="s">
        <v>4478</v>
      </c>
      <c r="C2" s="90" t="s">
        <v>4479</v>
      </c>
      <c r="D2" s="116">
        <v>41936</v>
      </c>
      <c r="E2" s="125" t="s">
        <v>4550</v>
      </c>
      <c r="F2" s="90">
        <v>3204149084</v>
      </c>
      <c r="G2" s="90" t="s">
        <v>4551</v>
      </c>
      <c r="H2" s="90" t="s">
        <v>4480</v>
      </c>
      <c r="I2" s="89" t="s">
        <v>4481</v>
      </c>
      <c r="J2" s="89" t="s">
        <v>4492</v>
      </c>
      <c r="L2" s="1">
        <v>1</v>
      </c>
      <c r="M2" s="1" t="s">
        <v>4479</v>
      </c>
      <c r="N2" s="123">
        <v>8828</v>
      </c>
      <c r="O2" s="1" t="s">
        <v>4584</v>
      </c>
      <c r="P2" s="122"/>
      <c r="Q2" s="122"/>
      <c r="R2" s="122" t="s">
        <v>4627</v>
      </c>
    </row>
    <row r="3" spans="1:18" ht="16.5" thickBot="1">
      <c r="A3" s="88" t="s">
        <v>4477</v>
      </c>
      <c r="B3" s="89" t="s">
        <v>4478</v>
      </c>
      <c r="C3" s="90" t="s">
        <v>4479</v>
      </c>
      <c r="D3" s="91">
        <v>42518</v>
      </c>
      <c r="E3" s="90" t="s">
        <v>4482</v>
      </c>
      <c r="F3" s="90">
        <v>3711068176</v>
      </c>
      <c r="G3" s="90" t="s">
        <v>4483</v>
      </c>
      <c r="H3" s="90" t="s">
        <v>4480</v>
      </c>
      <c r="I3" s="89" t="s">
        <v>4481</v>
      </c>
      <c r="J3" s="89" t="s">
        <v>4492</v>
      </c>
      <c r="L3" s="1">
        <v>2</v>
      </c>
      <c r="M3" s="1" t="s">
        <v>4479</v>
      </c>
      <c r="N3" s="123"/>
      <c r="O3" s="122" t="s">
        <v>4585</v>
      </c>
      <c r="P3" s="122"/>
      <c r="Q3" s="122"/>
      <c r="R3" s="122" t="s">
        <v>4627</v>
      </c>
    </row>
    <row r="4" spans="1:18" ht="16.5" thickBot="1">
      <c r="A4" s="88" t="s">
        <v>4477</v>
      </c>
      <c r="B4" s="89" t="s">
        <v>4478</v>
      </c>
      <c r="C4" s="90" t="s">
        <v>4479</v>
      </c>
      <c r="D4" s="91">
        <v>8828</v>
      </c>
      <c r="E4" s="90" t="s">
        <v>4486</v>
      </c>
      <c r="F4" s="90">
        <v>3711068178</v>
      </c>
      <c r="G4" s="90" t="s">
        <v>4487</v>
      </c>
      <c r="H4" s="90" t="s">
        <v>4480</v>
      </c>
      <c r="I4" s="89" t="s">
        <v>4481</v>
      </c>
      <c r="J4" s="89" t="s">
        <v>4492</v>
      </c>
      <c r="L4" s="1">
        <v>3</v>
      </c>
      <c r="M4" s="1" t="s">
        <v>4479</v>
      </c>
      <c r="N4" s="123">
        <v>39494</v>
      </c>
      <c r="O4" s="122" t="s">
        <v>4586</v>
      </c>
      <c r="P4" s="122"/>
      <c r="Q4" s="122"/>
      <c r="R4" s="122" t="s">
        <v>4627</v>
      </c>
    </row>
    <row r="5" spans="1:18" ht="16.5" thickBot="1">
      <c r="A5" s="88" t="s">
        <v>4477</v>
      </c>
      <c r="B5" s="89" t="s">
        <v>4478</v>
      </c>
      <c r="C5" s="90" t="s">
        <v>4479</v>
      </c>
      <c r="D5" s="91">
        <v>18307</v>
      </c>
      <c r="E5" s="90" t="s">
        <v>4558</v>
      </c>
      <c r="F5" s="90">
        <v>3711068180</v>
      </c>
      <c r="G5" s="90" t="s">
        <v>4559</v>
      </c>
      <c r="H5" s="90" t="s">
        <v>4480</v>
      </c>
      <c r="I5" s="89" t="s">
        <v>4481</v>
      </c>
      <c r="J5" s="89" t="s">
        <v>4567</v>
      </c>
      <c r="L5" s="1">
        <v>4</v>
      </c>
      <c r="M5" s="1" t="s">
        <v>4479</v>
      </c>
      <c r="N5" s="123"/>
      <c r="O5" s="122" t="s">
        <v>4574</v>
      </c>
      <c r="P5" s="122"/>
      <c r="Q5" s="122"/>
      <c r="R5" s="122" t="s">
        <v>4627</v>
      </c>
    </row>
    <row r="6" spans="1:18" ht="16.5" thickBot="1">
      <c r="A6" s="88" t="s">
        <v>4477</v>
      </c>
      <c r="B6" s="89" t="s">
        <v>4478</v>
      </c>
      <c r="C6" s="90" t="s">
        <v>4479</v>
      </c>
      <c r="D6" s="91">
        <v>50541</v>
      </c>
      <c r="E6" s="90" t="s">
        <v>4536</v>
      </c>
      <c r="F6" s="90">
        <v>3102586764</v>
      </c>
      <c r="G6" s="90" t="s">
        <v>4537</v>
      </c>
      <c r="H6" s="90" t="s">
        <v>4480</v>
      </c>
      <c r="I6" s="89" t="s">
        <v>4481</v>
      </c>
      <c r="J6" s="89" t="s">
        <v>4557</v>
      </c>
      <c r="L6" s="1">
        <v>5</v>
      </c>
      <c r="M6" s="1" t="s">
        <v>4479</v>
      </c>
      <c r="N6" s="123">
        <v>37502</v>
      </c>
      <c r="O6" s="122" t="s">
        <v>4587</v>
      </c>
      <c r="P6" s="122"/>
      <c r="Q6" s="122"/>
      <c r="R6" s="122" t="s">
        <v>4627</v>
      </c>
    </row>
    <row r="7" spans="1:18" ht="16.5" thickBot="1">
      <c r="A7" s="88" t="s">
        <v>4477</v>
      </c>
      <c r="B7" s="89" t="s">
        <v>4478</v>
      </c>
      <c r="C7" s="90" t="s">
        <v>4479</v>
      </c>
      <c r="D7" s="91">
        <v>49156</v>
      </c>
      <c r="E7" s="126" t="s">
        <v>4561</v>
      </c>
      <c r="F7" s="90">
        <v>3711068175</v>
      </c>
      <c r="G7" s="90" t="s">
        <v>4560</v>
      </c>
      <c r="H7" s="90" t="s">
        <v>4480</v>
      </c>
      <c r="I7" s="89" t="s">
        <v>4481</v>
      </c>
      <c r="J7" s="89" t="s">
        <v>4567</v>
      </c>
      <c r="L7" s="1">
        <v>6</v>
      </c>
      <c r="M7" s="1" t="s">
        <v>4479</v>
      </c>
      <c r="N7" s="123">
        <v>45805</v>
      </c>
      <c r="O7" s="122" t="s">
        <v>4588</v>
      </c>
      <c r="P7" s="122"/>
      <c r="Q7" s="122"/>
      <c r="R7" s="122" t="s">
        <v>4627</v>
      </c>
    </row>
    <row r="8" spans="1:18" ht="16.5" thickBot="1">
      <c r="A8" s="88" t="s">
        <v>4477</v>
      </c>
      <c r="B8" s="89" t="s">
        <v>4478</v>
      </c>
      <c r="C8" s="90" t="s">
        <v>4479</v>
      </c>
      <c r="D8" s="91">
        <v>39494</v>
      </c>
      <c r="E8" s="90" t="s">
        <v>4484</v>
      </c>
      <c r="F8" s="90">
        <v>3711068177</v>
      </c>
      <c r="G8" s="90" t="s">
        <v>4485</v>
      </c>
      <c r="H8" s="90" t="s">
        <v>4480</v>
      </c>
      <c r="I8" s="89" t="s">
        <v>4481</v>
      </c>
      <c r="J8" s="89" t="s">
        <v>4567</v>
      </c>
      <c r="L8" s="1">
        <v>7</v>
      </c>
      <c r="M8" s="1" t="s">
        <v>4479</v>
      </c>
      <c r="N8" s="123"/>
      <c r="O8" s="122" t="s">
        <v>4589</v>
      </c>
      <c r="P8" s="122"/>
      <c r="Q8" s="122"/>
      <c r="R8" s="122" t="s">
        <v>4627</v>
      </c>
    </row>
    <row r="9" spans="1:18" ht="16.5" thickBot="1">
      <c r="A9" s="88" t="s">
        <v>4477</v>
      </c>
      <c r="B9" s="89" t="s">
        <v>4478</v>
      </c>
      <c r="C9" s="90" t="s">
        <v>4479</v>
      </c>
      <c r="D9" s="91">
        <v>34361</v>
      </c>
      <c r="E9" s="90" t="s">
        <v>4463</v>
      </c>
      <c r="F9" s="90">
        <v>3711068179</v>
      </c>
      <c r="G9" s="90" t="s">
        <v>4488</v>
      </c>
      <c r="H9" s="90" t="s">
        <v>4480</v>
      </c>
      <c r="I9" s="89" t="s">
        <v>4481</v>
      </c>
      <c r="J9" s="89" t="s">
        <v>4567</v>
      </c>
      <c r="L9" s="1">
        <v>8</v>
      </c>
      <c r="M9" s="1" t="s">
        <v>4479</v>
      </c>
      <c r="N9" s="123">
        <v>42504</v>
      </c>
      <c r="O9" s="122" t="s">
        <v>4590</v>
      </c>
      <c r="P9" s="122"/>
      <c r="Q9" s="122"/>
      <c r="R9" s="122" t="s">
        <v>4627</v>
      </c>
    </row>
    <row r="10" spans="1:18">
      <c r="L10" s="1">
        <v>9</v>
      </c>
      <c r="M10" s="1" t="s">
        <v>4479</v>
      </c>
      <c r="N10" s="1"/>
      <c r="O10" s="122" t="s">
        <v>4591</v>
      </c>
      <c r="P10" s="1"/>
      <c r="Q10" s="1"/>
      <c r="R10" s="122" t="s">
        <v>4627</v>
      </c>
    </row>
    <row r="11" spans="1:18">
      <c r="L11" s="1">
        <v>10</v>
      </c>
      <c r="M11" s="1" t="s">
        <v>4479</v>
      </c>
      <c r="N11" s="1">
        <v>38824</v>
      </c>
      <c r="O11" s="122" t="s">
        <v>4592</v>
      </c>
      <c r="P11" s="1"/>
      <c r="Q11" s="1"/>
      <c r="R11" s="122" t="s">
        <v>4627</v>
      </c>
    </row>
    <row r="12" spans="1:18">
      <c r="L12" s="1">
        <v>11</v>
      </c>
      <c r="M12" s="1" t="s">
        <v>4479</v>
      </c>
      <c r="N12" s="1">
        <v>8842</v>
      </c>
      <c r="O12" s="122" t="s">
        <v>4593</v>
      </c>
      <c r="P12" s="1"/>
      <c r="Q12" s="1"/>
      <c r="R12" s="122" t="s">
        <v>4627</v>
      </c>
    </row>
    <row r="13" spans="1:18">
      <c r="L13" s="1">
        <v>12</v>
      </c>
      <c r="M13" s="1" t="s">
        <v>4479</v>
      </c>
      <c r="N13" s="1"/>
      <c r="O13" s="122" t="s">
        <v>4594</v>
      </c>
      <c r="P13" s="1"/>
      <c r="Q13" s="1"/>
      <c r="R13" s="122" t="s">
        <v>4627</v>
      </c>
    </row>
    <row r="14" spans="1:18">
      <c r="L14" s="1">
        <v>13</v>
      </c>
      <c r="M14" s="1" t="s">
        <v>4479</v>
      </c>
      <c r="N14" s="1"/>
      <c r="O14" s="122" t="s">
        <v>4595</v>
      </c>
      <c r="P14" s="1"/>
      <c r="Q14" s="1"/>
      <c r="R14" s="122" t="s">
        <v>4627</v>
      </c>
    </row>
    <row r="15" spans="1:18">
      <c r="L15" s="1">
        <v>14</v>
      </c>
      <c r="M15" s="1" t="s">
        <v>4479</v>
      </c>
      <c r="N15" s="1">
        <v>43040</v>
      </c>
      <c r="O15" s="122" t="s">
        <v>4596</v>
      </c>
      <c r="P15" s="1"/>
      <c r="Q15" s="1"/>
      <c r="R15" s="122" t="s">
        <v>4627</v>
      </c>
    </row>
    <row r="16" spans="1:18">
      <c r="L16" s="1">
        <v>15</v>
      </c>
      <c r="M16" s="1" t="s">
        <v>4479</v>
      </c>
      <c r="N16" s="1">
        <v>49156</v>
      </c>
      <c r="O16" s="122" t="s">
        <v>4598</v>
      </c>
      <c r="P16" s="1"/>
      <c r="Q16" s="1"/>
      <c r="R16" s="122" t="s">
        <v>4627</v>
      </c>
    </row>
    <row r="17" spans="12:18">
      <c r="L17" s="1">
        <v>16</v>
      </c>
      <c r="M17" s="1" t="s">
        <v>4479</v>
      </c>
      <c r="N17" s="1">
        <v>50540</v>
      </c>
      <c r="O17" s="122" t="s">
        <v>4597</v>
      </c>
      <c r="P17" s="1"/>
      <c r="Q17" s="1"/>
      <c r="R17" s="122" t="s">
        <v>4627</v>
      </c>
    </row>
    <row r="18" spans="12:18">
      <c r="L18" s="1">
        <v>17</v>
      </c>
      <c r="M18" s="1" t="s">
        <v>4479</v>
      </c>
      <c r="N18" s="1"/>
      <c r="O18" s="122" t="s">
        <v>4599</v>
      </c>
      <c r="P18" s="1"/>
      <c r="Q18" s="1"/>
      <c r="R18" s="1" t="s">
        <v>4628</v>
      </c>
    </row>
    <row r="19" spans="12:18">
      <c r="L19" s="1">
        <v>18</v>
      </c>
      <c r="M19" s="1" t="s">
        <v>4479</v>
      </c>
      <c r="N19" s="1">
        <v>48521</v>
      </c>
      <c r="O19" s="122" t="s">
        <v>4600</v>
      </c>
      <c r="P19" s="1"/>
      <c r="Q19" s="1"/>
      <c r="R19" s="1" t="s">
        <v>4628</v>
      </c>
    </row>
    <row r="20" spans="12:18">
      <c r="L20" s="1">
        <v>19</v>
      </c>
      <c r="M20" s="1" t="s">
        <v>4479</v>
      </c>
      <c r="N20" s="1">
        <v>27744</v>
      </c>
      <c r="O20" s="122" t="s">
        <v>4601</v>
      </c>
      <c r="P20" s="1"/>
      <c r="Q20" s="1"/>
      <c r="R20" s="1" t="s">
        <v>4628</v>
      </c>
    </row>
    <row r="21" spans="12:18">
      <c r="L21" s="1">
        <v>20</v>
      </c>
      <c r="M21" s="1" t="s">
        <v>4479</v>
      </c>
      <c r="N21" s="1">
        <v>34361</v>
      </c>
      <c r="O21" s="122" t="s">
        <v>4602</v>
      </c>
      <c r="P21" s="1"/>
      <c r="Q21" s="1"/>
      <c r="R21" s="1" t="s">
        <v>4628</v>
      </c>
    </row>
    <row r="22" spans="12:18">
      <c r="L22" s="1">
        <v>21</v>
      </c>
      <c r="M22" s="1" t="s">
        <v>4479</v>
      </c>
      <c r="N22" s="1"/>
      <c r="O22" s="122" t="s">
        <v>4603</v>
      </c>
      <c r="P22" s="1"/>
      <c r="Q22" s="1"/>
      <c r="R22" s="1" t="s">
        <v>4628</v>
      </c>
    </row>
    <row r="23" spans="12:18">
      <c r="L23" s="1">
        <v>22</v>
      </c>
      <c r="M23" s="1" t="s">
        <v>4479</v>
      </c>
      <c r="N23" s="1"/>
      <c r="O23" s="122" t="s">
        <v>4604</v>
      </c>
      <c r="P23" s="1"/>
      <c r="Q23" s="1"/>
      <c r="R23" s="1" t="s">
        <v>4628</v>
      </c>
    </row>
    <row r="24" spans="12:18">
      <c r="L24" s="1">
        <v>23</v>
      </c>
      <c r="M24" s="1" t="s">
        <v>4479</v>
      </c>
      <c r="N24" s="1">
        <v>34708</v>
      </c>
      <c r="O24" s="122" t="s">
        <v>4605</v>
      </c>
      <c r="P24" s="1"/>
      <c r="Q24" s="1"/>
      <c r="R24" s="1" t="s">
        <v>4628</v>
      </c>
    </row>
    <row r="25" spans="12:18">
      <c r="L25" s="1">
        <v>24</v>
      </c>
      <c r="M25" s="1" t="s">
        <v>4479</v>
      </c>
      <c r="N25" s="1">
        <v>32817</v>
      </c>
      <c r="O25" s="122" t="s">
        <v>4606</v>
      </c>
      <c r="P25" s="1"/>
      <c r="Q25" s="1"/>
      <c r="R25" s="1" t="s">
        <v>4627</v>
      </c>
    </row>
    <row r="26" spans="12:18">
      <c r="L26" s="1">
        <v>25</v>
      </c>
      <c r="M26" s="1" t="s">
        <v>4479</v>
      </c>
      <c r="N26" s="1">
        <v>42518</v>
      </c>
      <c r="O26" s="122" t="s">
        <v>4607</v>
      </c>
      <c r="P26" s="1"/>
      <c r="Q26" s="1"/>
      <c r="R26" s="1" t="s">
        <v>4627</v>
      </c>
    </row>
    <row r="27" spans="12:18">
      <c r="L27" s="1">
        <v>26</v>
      </c>
      <c r="M27" s="1" t="s">
        <v>4479</v>
      </c>
      <c r="N27" s="1"/>
      <c r="O27" s="122" t="s">
        <v>4608</v>
      </c>
      <c r="P27" s="1"/>
      <c r="Q27" s="1"/>
      <c r="R27" s="1" t="s">
        <v>4627</v>
      </c>
    </row>
    <row r="28" spans="12:18">
      <c r="L28" s="1">
        <v>27</v>
      </c>
      <c r="M28" s="1" t="s">
        <v>4479</v>
      </c>
      <c r="N28" s="1"/>
      <c r="O28" s="122" t="s">
        <v>4610</v>
      </c>
      <c r="P28" s="1"/>
      <c r="Q28" s="1"/>
      <c r="R28" s="1" t="s">
        <v>4627</v>
      </c>
    </row>
    <row r="29" spans="12:18">
      <c r="L29" s="1">
        <v>28</v>
      </c>
      <c r="M29" s="1" t="s">
        <v>4479</v>
      </c>
      <c r="N29" s="1">
        <v>38757</v>
      </c>
      <c r="O29" s="122" t="s">
        <v>4609</v>
      </c>
      <c r="P29" s="1"/>
      <c r="Q29" s="1"/>
      <c r="R29" s="1" t="s">
        <v>4627</v>
      </c>
    </row>
    <row r="30" spans="12:18">
      <c r="L30" s="1">
        <v>29</v>
      </c>
      <c r="M30" s="1" t="s">
        <v>4479</v>
      </c>
      <c r="N30" s="1">
        <v>44120</v>
      </c>
      <c r="O30" s="122" t="s">
        <v>4611</v>
      </c>
      <c r="P30" s="1"/>
      <c r="Q30" s="1"/>
      <c r="R30" s="1" t="s">
        <v>4629</v>
      </c>
    </row>
    <row r="31" spans="12:18">
      <c r="L31" s="1">
        <v>30</v>
      </c>
      <c r="M31" s="1" t="s">
        <v>4479</v>
      </c>
      <c r="N31" s="1">
        <v>50541</v>
      </c>
      <c r="O31" s="122" t="s">
        <v>4612</v>
      </c>
      <c r="P31" s="1"/>
      <c r="Q31" s="1"/>
      <c r="R31" s="1" t="s">
        <v>4628</v>
      </c>
    </row>
    <row r="32" spans="12:18">
      <c r="L32" s="1">
        <v>31</v>
      </c>
      <c r="M32" s="1" t="s">
        <v>4479</v>
      </c>
      <c r="N32" s="1"/>
      <c r="O32" s="122" t="s">
        <v>4613</v>
      </c>
      <c r="P32" s="1"/>
      <c r="Q32" s="1"/>
      <c r="R32" s="1" t="s">
        <v>4629</v>
      </c>
    </row>
    <row r="33" spans="12:18">
      <c r="L33" s="1">
        <v>32</v>
      </c>
      <c r="M33" s="1" t="s">
        <v>4479</v>
      </c>
      <c r="N33" s="1"/>
      <c r="O33" s="122" t="s">
        <v>4614</v>
      </c>
      <c r="P33" s="1"/>
      <c r="Q33" s="1"/>
      <c r="R33" s="1" t="s">
        <v>4630</v>
      </c>
    </row>
    <row r="34" spans="12:18">
      <c r="L34" s="1">
        <v>33</v>
      </c>
      <c r="M34" s="1" t="s">
        <v>4479</v>
      </c>
      <c r="N34" s="1"/>
      <c r="O34" s="122" t="s">
        <v>4615</v>
      </c>
      <c r="P34" s="1"/>
      <c r="Q34" s="1"/>
      <c r="R34" s="1" t="s">
        <v>4630</v>
      </c>
    </row>
    <row r="35" spans="12:18">
      <c r="L35" s="1">
        <v>34</v>
      </c>
      <c r="M35" s="1" t="s">
        <v>4479</v>
      </c>
      <c r="N35" s="1"/>
      <c r="O35" s="122" t="s">
        <v>4616</v>
      </c>
      <c r="P35" s="1"/>
      <c r="Q35" s="1"/>
      <c r="R35" s="1" t="s">
        <v>4630</v>
      </c>
    </row>
    <row r="36" spans="12:18">
      <c r="L36" s="1">
        <v>35</v>
      </c>
      <c r="M36" s="1" t="s">
        <v>4479</v>
      </c>
      <c r="N36" s="1">
        <v>8826</v>
      </c>
      <c r="O36" s="122" t="s">
        <v>4617</v>
      </c>
      <c r="P36" s="1"/>
      <c r="Q36" s="1"/>
      <c r="R36" s="1" t="s">
        <v>4630</v>
      </c>
    </row>
    <row r="37" spans="12:18">
      <c r="L37" s="1">
        <v>36</v>
      </c>
      <c r="M37" s="1" t="s">
        <v>4479</v>
      </c>
      <c r="N37" s="1">
        <v>8831</v>
      </c>
      <c r="O37" s="122" t="s">
        <v>4618</v>
      </c>
      <c r="P37" s="1"/>
      <c r="Q37" s="1"/>
      <c r="R37" s="1" t="s">
        <v>4630</v>
      </c>
    </row>
    <row r="38" spans="12:18">
      <c r="L38" s="1">
        <v>37</v>
      </c>
      <c r="M38" s="1" t="s">
        <v>4479</v>
      </c>
      <c r="N38" s="1"/>
      <c r="O38" s="122" t="s">
        <v>4619</v>
      </c>
      <c r="P38" s="1"/>
      <c r="Q38" s="1"/>
      <c r="R38" s="1" t="s">
        <v>4627</v>
      </c>
    </row>
    <row r="39" spans="12:18">
      <c r="L39" s="1">
        <v>38</v>
      </c>
      <c r="M39" s="1" t="s">
        <v>4479</v>
      </c>
      <c r="N39" s="1"/>
      <c r="O39" s="122" t="s">
        <v>4620</v>
      </c>
      <c r="P39" s="1"/>
      <c r="Q39" s="1"/>
      <c r="R39" s="1" t="s">
        <v>4627</v>
      </c>
    </row>
    <row r="40" spans="12:18">
      <c r="L40" s="1">
        <v>39</v>
      </c>
      <c r="M40" s="1" t="s">
        <v>4479</v>
      </c>
      <c r="N40" s="1"/>
      <c r="O40" s="122" t="s">
        <v>4621</v>
      </c>
      <c r="P40" s="1"/>
      <c r="Q40" s="1"/>
      <c r="R40" s="1" t="s">
        <v>4631</v>
      </c>
    </row>
    <row r="41" spans="12:18">
      <c r="L41" s="1">
        <v>40</v>
      </c>
      <c r="M41" s="1" t="s">
        <v>4479</v>
      </c>
      <c r="N41" s="1"/>
      <c r="O41" s="122" t="s">
        <v>4622</v>
      </c>
      <c r="P41" s="1"/>
      <c r="Q41" s="1"/>
      <c r="R41" s="1" t="s">
        <v>4631</v>
      </c>
    </row>
    <row r="42" spans="12:18">
      <c r="L42" s="1">
        <v>41</v>
      </c>
      <c r="M42" s="1" t="s">
        <v>4479</v>
      </c>
      <c r="N42" s="1"/>
      <c r="O42" s="122" t="s">
        <v>4623</v>
      </c>
      <c r="P42" s="1"/>
      <c r="Q42" s="1"/>
      <c r="R42" s="1" t="s">
        <v>4631</v>
      </c>
    </row>
    <row r="43" spans="12:18">
      <c r="L43" s="1">
        <v>42</v>
      </c>
      <c r="M43" s="1" t="s">
        <v>4479</v>
      </c>
      <c r="N43" s="1"/>
      <c r="O43" s="122" t="s">
        <v>4624</v>
      </c>
      <c r="P43" s="1"/>
      <c r="Q43" s="1"/>
      <c r="R43" s="1" t="s">
        <v>4632</v>
      </c>
    </row>
    <row r="44" spans="12:18">
      <c r="L44" s="1">
        <v>43</v>
      </c>
      <c r="M44" s="1" t="s">
        <v>4479</v>
      </c>
      <c r="N44" s="1"/>
      <c r="O44" s="122" t="s">
        <v>4625</v>
      </c>
      <c r="P44" s="1"/>
      <c r="Q44" s="1"/>
      <c r="R44" s="1" t="s">
        <v>4627</v>
      </c>
    </row>
    <row r="45" spans="12:18">
      <c r="L45" s="1">
        <v>44</v>
      </c>
      <c r="M45" s="1" t="s">
        <v>4479</v>
      </c>
      <c r="N45" s="1">
        <v>50538</v>
      </c>
      <c r="O45" s="122" t="s">
        <v>4626</v>
      </c>
      <c r="P45" s="1"/>
      <c r="Q45" s="1"/>
      <c r="R45" s="1" t="s">
        <v>4627</v>
      </c>
    </row>
  </sheetData>
  <autoFilter ref="L1:R45" xr:uid="{F0D8A61B-D5A6-41C9-B81E-F505941F0189}">
    <sortState xmlns:xlrd2="http://schemas.microsoft.com/office/spreadsheetml/2017/richdata2" ref="L2:R45">
      <sortCondition ref="L1:L45"/>
    </sortState>
  </autoFilter>
  <conditionalFormatting sqref="F2:F9">
    <cfRule type="duplicateValues" dxfId="797" priority="2"/>
  </conditionalFormatting>
  <conditionalFormatting sqref="P2:P9">
    <cfRule type="duplicateValues" dxfId="796" priority="1"/>
  </conditionalFormatting>
  <pageMargins left="0.7" right="0.7" top="0.75" bottom="0.75" header="0.3" footer="0.3"/>
  <pageSetup scale="8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D48F-52D9-4E55-9CF8-9EECD24A0D4B}">
  <dimension ref="A1:G3965"/>
  <sheetViews>
    <sheetView showGridLines="0" workbookViewId="0">
      <selection activeCell="C13" sqref="C13"/>
    </sheetView>
  </sheetViews>
  <sheetFormatPr defaultRowHeight="15"/>
  <cols>
    <col min="1" max="1" width="3.7109375" bestFit="1" customWidth="1"/>
    <col min="2" max="2" width="40.85546875" bestFit="1" customWidth="1"/>
    <col min="3" max="3" width="14.7109375" bestFit="1" customWidth="1"/>
    <col min="4" max="4" width="26.140625" bestFit="1" customWidth="1"/>
    <col min="5" max="5" width="9" bestFit="1" customWidth="1"/>
    <col min="6" max="6" width="8.140625" bestFit="1" customWidth="1"/>
    <col min="7" max="7" width="11.7109375" bestFit="1" customWidth="1"/>
  </cols>
  <sheetData>
    <row r="1" spans="1:7" ht="15.75" thickBot="1">
      <c r="A1" s="75" t="s">
        <v>1753</v>
      </c>
      <c r="B1" s="73" t="s">
        <v>1754</v>
      </c>
      <c r="C1" s="66" t="s">
        <v>4227</v>
      </c>
      <c r="D1" s="66" t="s">
        <v>1903</v>
      </c>
      <c r="E1" s="66" t="s">
        <v>4152</v>
      </c>
      <c r="F1" s="66" t="s">
        <v>4153</v>
      </c>
      <c r="G1" s="79" t="s">
        <v>4154</v>
      </c>
    </row>
    <row r="2" spans="1:7">
      <c r="A2">
        <v>1</v>
      </c>
      <c r="B2" t="s">
        <v>2109</v>
      </c>
      <c r="C2" s="3">
        <v>4</v>
      </c>
      <c r="D2" s="78">
        <v>4</v>
      </c>
      <c r="E2" s="76">
        <v>0.80010000000000003</v>
      </c>
      <c r="F2" s="77">
        <f>D2%*100/C2</f>
        <v>1</v>
      </c>
      <c r="G2" s="83">
        <f>F2%*100/E2</f>
        <v>1.2498437695288089</v>
      </c>
    </row>
    <row r="3" spans="1:7">
      <c r="A3">
        <v>2</v>
      </c>
      <c r="B3" t="s">
        <v>4150</v>
      </c>
      <c r="C3" s="3">
        <v>8</v>
      </c>
      <c r="D3" s="78">
        <v>8</v>
      </c>
      <c r="E3" s="76">
        <v>0.80010000000000003</v>
      </c>
      <c r="F3" s="77">
        <f t="shared" ref="F3:F22" si="0">D3%*100/C3</f>
        <v>1</v>
      </c>
      <c r="G3" s="83">
        <f t="shared" ref="G3:G22" si="1">F3%*100/E3</f>
        <v>1.2498437695288089</v>
      </c>
    </row>
    <row r="4" spans="1:7">
      <c r="A4">
        <v>3</v>
      </c>
      <c r="B4" t="s">
        <v>1760</v>
      </c>
      <c r="C4" s="3">
        <v>12</v>
      </c>
      <c r="D4" s="78">
        <v>10</v>
      </c>
      <c r="E4" s="76">
        <v>0.80010000000000003</v>
      </c>
      <c r="F4" s="77">
        <f t="shared" si="0"/>
        <v>0.83333333333333337</v>
      </c>
      <c r="G4" s="83">
        <f t="shared" si="1"/>
        <v>1.0415364746073408</v>
      </c>
    </row>
    <row r="5" spans="1:7">
      <c r="A5">
        <v>4</v>
      </c>
      <c r="B5" t="s">
        <v>1756</v>
      </c>
      <c r="C5" s="3">
        <v>15</v>
      </c>
      <c r="D5" s="78">
        <v>12</v>
      </c>
      <c r="E5" s="76">
        <v>0.80010000000000003</v>
      </c>
      <c r="F5" s="77">
        <f t="shared" si="0"/>
        <v>0.8</v>
      </c>
      <c r="G5" s="83">
        <f t="shared" si="1"/>
        <v>0.99987501562304715</v>
      </c>
    </row>
    <row r="6" spans="1:7">
      <c r="A6">
        <v>5</v>
      </c>
      <c r="B6" t="s">
        <v>1759</v>
      </c>
      <c r="C6" s="3">
        <v>17</v>
      </c>
      <c r="D6" s="78">
        <v>15</v>
      </c>
      <c r="E6" s="76">
        <v>0.80010000000000003</v>
      </c>
      <c r="F6" s="77">
        <f t="shared" si="0"/>
        <v>0.88235294117647056</v>
      </c>
      <c r="G6" s="83">
        <f t="shared" si="1"/>
        <v>1.1028033260548313</v>
      </c>
    </row>
    <row r="7" spans="1:7">
      <c r="A7">
        <v>6</v>
      </c>
      <c r="B7" t="s">
        <v>1761</v>
      </c>
      <c r="C7" s="3">
        <v>24</v>
      </c>
      <c r="D7" s="78">
        <v>17</v>
      </c>
      <c r="E7" s="76">
        <v>0.80010000000000003</v>
      </c>
      <c r="F7" s="77">
        <f t="shared" si="0"/>
        <v>0.70833333333333337</v>
      </c>
      <c r="G7" s="83">
        <f t="shared" si="1"/>
        <v>0.88530600341623966</v>
      </c>
    </row>
    <row r="8" spans="1:7">
      <c r="A8">
        <v>7</v>
      </c>
      <c r="B8" t="s">
        <v>1757</v>
      </c>
      <c r="C8" s="3">
        <v>27</v>
      </c>
      <c r="D8" s="78">
        <v>19</v>
      </c>
      <c r="E8" s="76">
        <v>0.80010000000000003</v>
      </c>
      <c r="F8" s="77">
        <f t="shared" si="0"/>
        <v>0.70370370370370372</v>
      </c>
      <c r="G8" s="83">
        <f t="shared" si="1"/>
        <v>0.87951968966842109</v>
      </c>
    </row>
    <row r="9" spans="1:7">
      <c r="A9">
        <v>8</v>
      </c>
      <c r="B9" t="s">
        <v>1755</v>
      </c>
      <c r="C9" s="3">
        <v>28</v>
      </c>
      <c r="D9" s="78">
        <v>24</v>
      </c>
      <c r="E9" s="76">
        <v>0.80010000000000003</v>
      </c>
      <c r="F9" s="77">
        <f t="shared" si="0"/>
        <v>0.8571428571428571</v>
      </c>
      <c r="G9" s="83">
        <f t="shared" si="1"/>
        <v>1.0712946595961217</v>
      </c>
    </row>
    <row r="10" spans="1:7">
      <c r="A10">
        <v>9</v>
      </c>
      <c r="B10" t="s">
        <v>1904</v>
      </c>
      <c r="C10" s="3">
        <v>28</v>
      </c>
      <c r="D10" s="78">
        <v>22</v>
      </c>
      <c r="E10" s="76">
        <v>0.80010000000000003</v>
      </c>
      <c r="F10" s="77">
        <f t="shared" si="0"/>
        <v>0.7857142857142857</v>
      </c>
      <c r="G10" s="83">
        <f t="shared" si="1"/>
        <v>0.98202010462977851</v>
      </c>
    </row>
    <row r="11" spans="1:7">
      <c r="A11">
        <v>10</v>
      </c>
      <c r="B11" t="s">
        <v>1763</v>
      </c>
      <c r="C11" s="3">
        <v>30</v>
      </c>
      <c r="D11" s="78">
        <v>27</v>
      </c>
      <c r="E11" s="76">
        <v>0.80010000000000003</v>
      </c>
      <c r="F11" s="77">
        <f t="shared" si="0"/>
        <v>0.9</v>
      </c>
      <c r="G11" s="83">
        <f t="shared" si="1"/>
        <v>1.124859392575928</v>
      </c>
    </row>
    <row r="12" spans="1:7">
      <c r="A12">
        <v>11</v>
      </c>
      <c r="B12" t="s">
        <v>1762</v>
      </c>
      <c r="C12" s="3">
        <v>30</v>
      </c>
      <c r="D12" s="78">
        <v>23</v>
      </c>
      <c r="E12" s="76">
        <v>0.80010000000000003</v>
      </c>
      <c r="F12" s="77">
        <f t="shared" si="0"/>
        <v>0.76666666666666672</v>
      </c>
      <c r="G12" s="83">
        <f t="shared" si="1"/>
        <v>0.95821355663875352</v>
      </c>
    </row>
    <row r="13" spans="1:7">
      <c r="A13">
        <v>12</v>
      </c>
      <c r="B13" t="s">
        <v>1767</v>
      </c>
      <c r="C13" s="3">
        <v>30</v>
      </c>
      <c r="D13" s="78">
        <v>22</v>
      </c>
      <c r="E13" s="76">
        <v>0.80010000000000003</v>
      </c>
      <c r="F13" s="77">
        <f t="shared" si="0"/>
        <v>0.73333333333333328</v>
      </c>
      <c r="G13" s="83">
        <f t="shared" si="1"/>
        <v>0.91655209765445977</v>
      </c>
    </row>
    <row r="14" spans="1:7">
      <c r="A14">
        <v>13</v>
      </c>
      <c r="B14" t="s">
        <v>4151</v>
      </c>
      <c r="C14" s="3">
        <v>45</v>
      </c>
      <c r="D14" s="78">
        <v>38</v>
      </c>
      <c r="E14" s="76">
        <v>0.80010000000000003</v>
      </c>
      <c r="F14" s="77">
        <f t="shared" si="0"/>
        <v>0.84444444444444444</v>
      </c>
      <c r="G14" s="83">
        <f t="shared" si="1"/>
        <v>1.0554236276021052</v>
      </c>
    </row>
    <row r="15" spans="1:7">
      <c r="A15">
        <v>14</v>
      </c>
      <c r="B15" t="s">
        <v>1765</v>
      </c>
      <c r="C15" s="3">
        <v>46</v>
      </c>
      <c r="D15" s="78">
        <v>33</v>
      </c>
      <c r="E15" s="76">
        <v>0.80010000000000003</v>
      </c>
      <c r="F15" s="77">
        <f t="shared" si="0"/>
        <v>0.71739130434782605</v>
      </c>
      <c r="G15" s="83">
        <f t="shared" si="1"/>
        <v>0.89662705205327586</v>
      </c>
    </row>
    <row r="16" spans="1:7">
      <c r="A16">
        <v>15</v>
      </c>
      <c r="B16" t="s">
        <v>1764</v>
      </c>
      <c r="C16" s="3">
        <v>48</v>
      </c>
      <c r="D16" s="78">
        <v>36</v>
      </c>
      <c r="E16" s="76">
        <v>0.80010000000000003</v>
      </c>
      <c r="F16" s="77">
        <f t="shared" si="0"/>
        <v>0.75</v>
      </c>
      <c r="G16" s="83">
        <f t="shared" si="1"/>
        <v>0.93738282714660659</v>
      </c>
    </row>
    <row r="17" spans="1:7">
      <c r="A17">
        <v>16</v>
      </c>
      <c r="B17" t="s">
        <v>1766</v>
      </c>
      <c r="C17" s="3">
        <v>53</v>
      </c>
      <c r="D17" s="78">
        <v>42</v>
      </c>
      <c r="E17" s="76">
        <v>0.80010000000000003</v>
      </c>
      <c r="F17" s="77">
        <f t="shared" si="0"/>
        <v>0.79245283018867929</v>
      </c>
      <c r="G17" s="83">
        <f t="shared" si="1"/>
        <v>0.99044223245679197</v>
      </c>
    </row>
    <row r="18" spans="1:7">
      <c r="A18">
        <v>17</v>
      </c>
      <c r="B18" t="s">
        <v>1768</v>
      </c>
      <c r="C18" s="3">
        <v>55</v>
      </c>
      <c r="D18" s="78">
        <v>38</v>
      </c>
      <c r="E18" s="76">
        <v>0.80010000000000003</v>
      </c>
      <c r="F18" s="77">
        <f t="shared" si="0"/>
        <v>0.69090909090909092</v>
      </c>
      <c r="G18" s="83">
        <f t="shared" si="1"/>
        <v>0.86352842258354068</v>
      </c>
    </row>
    <row r="19" spans="1:7" ht="15.75" thickBot="1">
      <c r="A19">
        <v>18</v>
      </c>
      <c r="B19" t="s">
        <v>1758</v>
      </c>
      <c r="C19" s="3">
        <v>30</v>
      </c>
      <c r="D19" s="78">
        <v>25</v>
      </c>
      <c r="E19" s="76">
        <v>0.80010000000000003</v>
      </c>
      <c r="F19" s="77">
        <f t="shared" si="0"/>
        <v>0.83333333333333337</v>
      </c>
      <c r="G19" s="83">
        <f t="shared" si="1"/>
        <v>1.0415364746073408</v>
      </c>
    </row>
    <row r="20" spans="1:7">
      <c r="A20">
        <v>19</v>
      </c>
      <c r="B20" t="s">
        <v>1769</v>
      </c>
      <c r="C20" s="3">
        <v>162</v>
      </c>
      <c r="D20" s="78">
        <v>58</v>
      </c>
      <c r="E20" s="76">
        <v>0.80010000000000003</v>
      </c>
      <c r="F20" s="77">
        <f t="shared" si="0"/>
        <v>0.35802469135802467</v>
      </c>
      <c r="G20" s="83">
        <f t="shared" si="1"/>
        <v>0.44747492983130188</v>
      </c>
    </row>
    <row r="21" spans="1:7" ht="15.75" thickBot="1">
      <c r="A21">
        <v>20</v>
      </c>
      <c r="B21" t="s">
        <v>1770</v>
      </c>
      <c r="C21" s="3">
        <v>273</v>
      </c>
      <c r="D21" s="78">
        <v>73</v>
      </c>
      <c r="E21" s="76">
        <v>0.80010000000000003</v>
      </c>
      <c r="F21" s="77">
        <f t="shared" si="0"/>
        <v>0.26739926739926739</v>
      </c>
      <c r="G21" s="83">
        <f t="shared" si="1"/>
        <v>0.3342073083355423</v>
      </c>
    </row>
    <row r="22" spans="1:7" ht="15.75" thickBot="1">
      <c r="A22" s="171" t="s">
        <v>4155</v>
      </c>
      <c r="B22" s="172"/>
      <c r="C22" s="63">
        <f>SUM(C2:C21)</f>
        <v>965</v>
      </c>
      <c r="D22" s="80">
        <f>SUM(D2:D21)</f>
        <v>546</v>
      </c>
      <c r="E22" s="72">
        <v>0.80010000000000003</v>
      </c>
      <c r="F22" s="81">
        <f t="shared" si="0"/>
        <v>0.5658031088082901</v>
      </c>
      <c r="G22" s="82">
        <f t="shared" si="1"/>
        <v>0.70716549032407205</v>
      </c>
    </row>
    <row r="29" spans="1:7">
      <c r="C29" t="s">
        <v>2252</v>
      </c>
    </row>
    <row r="30" spans="1:7">
      <c r="C30" t="s">
        <v>2253</v>
      </c>
      <c r="D30" t="str">
        <f>""&amp;C30&amp;","</f>
        <v>LE7508466466,</v>
      </c>
    </row>
    <row r="31" spans="1:7">
      <c r="C31" t="s">
        <v>2254</v>
      </c>
      <c r="D31" t="str">
        <f t="shared" ref="D31:D94" si="2">""&amp;C31&amp;","</f>
        <v>KI7508707326,</v>
      </c>
    </row>
    <row r="32" spans="1:7">
      <c r="C32" t="s">
        <v>1541</v>
      </c>
      <c r="D32" t="str">
        <f t="shared" si="2"/>
        <v>VR7503500141,</v>
      </c>
    </row>
    <row r="33" spans="3:4">
      <c r="C33" t="s">
        <v>2255</v>
      </c>
      <c r="D33" t="str">
        <f t="shared" si="2"/>
        <v>KI7508941682,</v>
      </c>
    </row>
    <row r="34" spans="3:4">
      <c r="C34" t="s">
        <v>2256</v>
      </c>
      <c r="D34" t="str">
        <f t="shared" si="2"/>
        <v>JR9011924433,</v>
      </c>
    </row>
    <row r="35" spans="3:4">
      <c r="C35" t="s">
        <v>2257</v>
      </c>
      <c r="D35" t="str">
        <f t="shared" si="2"/>
        <v>AT7504326516,</v>
      </c>
    </row>
    <row r="36" spans="3:4">
      <c r="C36" t="s">
        <v>2258</v>
      </c>
      <c r="D36" t="str">
        <f t="shared" si="2"/>
        <v>JC9011936672,</v>
      </c>
    </row>
    <row r="37" spans="3:4">
      <c r="C37" t="s">
        <v>2259</v>
      </c>
      <c r="D37" t="str">
        <f t="shared" si="2"/>
        <v>KI7508958623,</v>
      </c>
    </row>
    <row r="38" spans="3:4">
      <c r="C38" t="s">
        <v>2260</v>
      </c>
      <c r="D38" t="str">
        <f t="shared" si="2"/>
        <v>FS7512185287,</v>
      </c>
    </row>
    <row r="39" spans="3:4">
      <c r="C39" t="s">
        <v>2261</v>
      </c>
      <c r="D39" t="str">
        <f t="shared" si="2"/>
        <v>MX7512768284,</v>
      </c>
    </row>
    <row r="40" spans="3:4">
      <c r="C40" t="s">
        <v>2262</v>
      </c>
      <c r="D40" t="str">
        <f t="shared" si="2"/>
        <v>MN7513092071,</v>
      </c>
    </row>
    <row r="41" spans="3:4">
      <c r="C41" t="s">
        <v>2263</v>
      </c>
      <c r="D41" t="str">
        <f t="shared" si="2"/>
        <v>LE9012072538,</v>
      </c>
    </row>
    <row r="42" spans="3:4">
      <c r="C42" t="s">
        <v>2264</v>
      </c>
      <c r="D42" t="str">
        <f t="shared" si="2"/>
        <v>LE9012077488,</v>
      </c>
    </row>
    <row r="43" spans="3:4">
      <c r="C43" t="s">
        <v>2265</v>
      </c>
      <c r="D43" t="str">
        <f t="shared" si="2"/>
        <v>RW0060943372,</v>
      </c>
    </row>
    <row r="44" spans="3:4">
      <c r="C44" t="s">
        <v>2266</v>
      </c>
      <c r="D44" t="str">
        <f t="shared" si="2"/>
        <v>SL7507529894,</v>
      </c>
    </row>
    <row r="45" spans="3:4">
      <c r="C45" t="s">
        <v>2267</v>
      </c>
      <c r="D45" t="str">
        <f t="shared" si="2"/>
        <v>LE9012079231,</v>
      </c>
    </row>
    <row r="46" spans="3:4">
      <c r="C46" t="s">
        <v>2268</v>
      </c>
      <c r="D46" t="str">
        <f t="shared" si="2"/>
        <v>LE9012078257,</v>
      </c>
    </row>
    <row r="47" spans="3:4">
      <c r="C47" t="s">
        <v>2269</v>
      </c>
      <c r="D47" t="str">
        <f t="shared" si="2"/>
        <v>RW7515004093,</v>
      </c>
    </row>
    <row r="48" spans="3:4">
      <c r="C48" t="s">
        <v>2270</v>
      </c>
      <c r="D48" t="str">
        <f t="shared" si="2"/>
        <v>LE9012078256,</v>
      </c>
    </row>
    <row r="49" spans="3:4">
      <c r="C49" t="s">
        <v>2271</v>
      </c>
      <c r="D49" t="str">
        <f t="shared" si="2"/>
        <v>LE7510174040,</v>
      </c>
    </row>
    <row r="50" spans="3:4">
      <c r="C50" t="s">
        <v>2272</v>
      </c>
      <c r="D50" t="str">
        <f t="shared" si="2"/>
        <v>LE9012075505,</v>
      </c>
    </row>
    <row r="51" spans="3:4">
      <c r="C51" t="s">
        <v>2273</v>
      </c>
      <c r="D51" t="str">
        <f t="shared" si="2"/>
        <v>LE9012085910,</v>
      </c>
    </row>
    <row r="52" spans="3:4">
      <c r="C52" t="s">
        <v>2274</v>
      </c>
      <c r="D52" t="str">
        <f t="shared" si="2"/>
        <v>MC7503298582,</v>
      </c>
    </row>
    <row r="53" spans="3:4">
      <c r="C53" t="s">
        <v>2275</v>
      </c>
      <c r="D53" t="str">
        <f t="shared" si="2"/>
        <v>LE9012079392,</v>
      </c>
    </row>
    <row r="54" spans="3:4">
      <c r="C54" t="s">
        <v>2276</v>
      </c>
      <c r="D54" t="str">
        <f t="shared" si="2"/>
        <v>LE0060902419,</v>
      </c>
    </row>
    <row r="55" spans="3:4">
      <c r="C55" t="s">
        <v>2277</v>
      </c>
      <c r="D55" t="str">
        <f t="shared" si="2"/>
        <v>LE7510171844,</v>
      </c>
    </row>
    <row r="56" spans="3:4">
      <c r="C56" t="s">
        <v>2278</v>
      </c>
      <c r="D56" t="str">
        <f t="shared" si="2"/>
        <v>LE9012072879,</v>
      </c>
    </row>
    <row r="57" spans="3:4">
      <c r="C57" t="s">
        <v>2279</v>
      </c>
      <c r="D57" t="str">
        <f t="shared" si="2"/>
        <v>LE9012067292,</v>
      </c>
    </row>
    <row r="58" spans="3:4">
      <c r="C58" t="s">
        <v>2280</v>
      </c>
      <c r="D58" t="str">
        <f t="shared" si="2"/>
        <v>LE9012078422,</v>
      </c>
    </row>
    <row r="59" spans="3:4">
      <c r="C59" t="s">
        <v>2281</v>
      </c>
      <c r="D59" t="str">
        <f t="shared" si="2"/>
        <v>PW7513563817,</v>
      </c>
    </row>
    <row r="60" spans="3:4">
      <c r="C60" t="s">
        <v>2282</v>
      </c>
      <c r="D60" t="str">
        <f t="shared" si="2"/>
        <v>KI7508977474,</v>
      </c>
    </row>
    <row r="61" spans="3:4">
      <c r="C61" t="s">
        <v>2283</v>
      </c>
      <c r="D61" t="str">
        <f t="shared" si="2"/>
        <v>WC7506798652,</v>
      </c>
    </row>
    <row r="62" spans="3:4">
      <c r="C62" t="s">
        <v>2284</v>
      </c>
      <c r="D62" t="str">
        <f t="shared" si="2"/>
        <v>WC7506798635,</v>
      </c>
    </row>
    <row r="63" spans="3:4">
      <c r="C63" t="s">
        <v>2285</v>
      </c>
      <c r="D63" t="str">
        <f t="shared" si="2"/>
        <v>LE9012077989,</v>
      </c>
    </row>
    <row r="64" spans="3:4">
      <c r="C64" t="s">
        <v>2286</v>
      </c>
      <c r="D64" t="str">
        <f t="shared" si="2"/>
        <v>KI7508960844,</v>
      </c>
    </row>
    <row r="65" spans="3:4">
      <c r="C65" t="s">
        <v>2287</v>
      </c>
      <c r="D65" t="str">
        <f t="shared" si="2"/>
        <v>FS7512157406,</v>
      </c>
    </row>
    <row r="66" spans="3:4">
      <c r="C66" t="s">
        <v>2288</v>
      </c>
      <c r="D66" t="str">
        <f t="shared" si="2"/>
        <v>LE9011924940,</v>
      </c>
    </row>
    <row r="67" spans="3:4">
      <c r="C67" t="s">
        <v>2289</v>
      </c>
      <c r="D67" t="str">
        <f t="shared" si="2"/>
        <v>KI9012060664,</v>
      </c>
    </row>
    <row r="68" spans="3:4">
      <c r="C68" t="s">
        <v>2290</v>
      </c>
      <c r="D68" t="str">
        <f t="shared" si="2"/>
        <v>KI7508952335,</v>
      </c>
    </row>
    <row r="69" spans="3:4">
      <c r="C69" t="s">
        <v>2291</v>
      </c>
      <c r="D69" t="str">
        <f t="shared" si="2"/>
        <v>KI7500313230,</v>
      </c>
    </row>
    <row r="70" spans="3:4">
      <c r="C70" t="s">
        <v>2292</v>
      </c>
      <c r="D70" t="str">
        <f t="shared" si="2"/>
        <v>LE9012060835,</v>
      </c>
    </row>
    <row r="71" spans="3:4">
      <c r="C71" t="s">
        <v>2293</v>
      </c>
      <c r="D71" t="str">
        <f t="shared" si="2"/>
        <v>LE7510162468,</v>
      </c>
    </row>
    <row r="72" spans="3:4">
      <c r="C72" t="s">
        <v>2294</v>
      </c>
      <c r="D72" t="str">
        <f t="shared" si="2"/>
        <v>LY7507588804,</v>
      </c>
    </row>
    <row r="73" spans="3:4">
      <c r="C73" t="s">
        <v>2295</v>
      </c>
      <c r="D73" t="str">
        <f t="shared" si="2"/>
        <v>KI7508958105,</v>
      </c>
    </row>
    <row r="74" spans="3:4">
      <c r="C74" t="s">
        <v>2296</v>
      </c>
      <c r="D74" t="str">
        <f t="shared" si="2"/>
        <v>KI7508980100,</v>
      </c>
    </row>
    <row r="75" spans="3:4">
      <c r="C75" t="s">
        <v>2297</v>
      </c>
      <c r="D75" t="str">
        <f t="shared" si="2"/>
        <v>GW7514772953,</v>
      </c>
    </row>
    <row r="76" spans="3:4">
      <c r="C76" t="s">
        <v>2298</v>
      </c>
      <c r="D76" t="str">
        <f t="shared" si="2"/>
        <v>SL7508019296,</v>
      </c>
    </row>
    <row r="77" spans="3:4">
      <c r="C77" t="s">
        <v>2299</v>
      </c>
      <c r="D77" t="str">
        <f t="shared" si="2"/>
        <v>FS7512183640,</v>
      </c>
    </row>
    <row r="78" spans="3:4">
      <c r="C78" t="s">
        <v>2300</v>
      </c>
      <c r="D78" t="str">
        <f t="shared" si="2"/>
        <v>FS7512194685,</v>
      </c>
    </row>
    <row r="79" spans="3:4">
      <c r="C79" t="s">
        <v>2301</v>
      </c>
      <c r="D79" t="str">
        <f t="shared" si="2"/>
        <v>LE7508494187,</v>
      </c>
    </row>
    <row r="80" spans="3:4">
      <c r="C80" t="s">
        <v>2302</v>
      </c>
      <c r="D80" t="str">
        <f t="shared" si="2"/>
        <v>JD7504341082,</v>
      </c>
    </row>
    <row r="81" spans="3:4">
      <c r="C81" t="s">
        <v>2303</v>
      </c>
      <c r="D81" t="str">
        <f t="shared" si="2"/>
        <v>KI7500323001,</v>
      </c>
    </row>
    <row r="82" spans="3:4">
      <c r="C82" t="s">
        <v>2304</v>
      </c>
      <c r="D82" t="str">
        <f t="shared" si="2"/>
        <v>ID7512540429,</v>
      </c>
    </row>
    <row r="83" spans="3:4">
      <c r="C83" t="s">
        <v>2305</v>
      </c>
      <c r="D83" t="str">
        <f t="shared" si="2"/>
        <v>KI7508861469,</v>
      </c>
    </row>
    <row r="84" spans="3:4">
      <c r="C84" t="s">
        <v>2306</v>
      </c>
      <c r="D84" t="str">
        <f t="shared" si="2"/>
        <v>LE9012061753,</v>
      </c>
    </row>
    <row r="85" spans="3:4">
      <c r="C85" t="s">
        <v>2307</v>
      </c>
      <c r="D85" t="str">
        <f t="shared" si="2"/>
        <v>PW9012077887,</v>
      </c>
    </row>
    <row r="86" spans="3:4">
      <c r="C86" t="s">
        <v>2308</v>
      </c>
      <c r="D86" t="str">
        <f t="shared" si="2"/>
        <v>LE9012064660,</v>
      </c>
    </row>
    <row r="87" spans="3:4">
      <c r="C87" t="s">
        <v>2309</v>
      </c>
      <c r="D87" t="str">
        <f t="shared" si="2"/>
        <v>LE7510162859,</v>
      </c>
    </row>
    <row r="88" spans="3:4">
      <c r="C88" t="s">
        <v>2310</v>
      </c>
      <c r="D88" t="str">
        <f t="shared" si="2"/>
        <v>KI9012068396,</v>
      </c>
    </row>
    <row r="89" spans="3:4">
      <c r="C89" t="s">
        <v>2311</v>
      </c>
      <c r="D89" t="str">
        <f t="shared" si="2"/>
        <v>LE7510162155,</v>
      </c>
    </row>
    <row r="90" spans="3:4">
      <c r="C90" t="s">
        <v>2312</v>
      </c>
      <c r="D90" t="str">
        <f t="shared" si="2"/>
        <v>LE7510152091,</v>
      </c>
    </row>
    <row r="91" spans="3:4">
      <c r="C91" t="s">
        <v>2313</v>
      </c>
      <c r="D91" t="str">
        <f t="shared" si="2"/>
        <v>ID9011571501,</v>
      </c>
    </row>
    <row r="92" spans="3:4">
      <c r="C92" t="s">
        <v>2314</v>
      </c>
      <c r="D92" t="str">
        <f t="shared" si="2"/>
        <v>FS7512189841,</v>
      </c>
    </row>
    <row r="93" spans="3:4">
      <c r="C93" t="s">
        <v>2315</v>
      </c>
      <c r="D93" t="str">
        <f t="shared" si="2"/>
        <v>KI7508944045,</v>
      </c>
    </row>
    <row r="94" spans="3:4">
      <c r="C94" t="s">
        <v>2316</v>
      </c>
      <c r="D94" t="str">
        <f t="shared" si="2"/>
        <v>FS7512192316,</v>
      </c>
    </row>
    <row r="95" spans="3:4">
      <c r="C95" t="s">
        <v>2317</v>
      </c>
      <c r="D95" t="str">
        <f t="shared" ref="D95:D158" si="3">""&amp;C95&amp;","</f>
        <v>KI7500328207,</v>
      </c>
    </row>
    <row r="96" spans="3:4">
      <c r="C96" t="s">
        <v>2318</v>
      </c>
      <c r="D96" t="str">
        <f t="shared" si="3"/>
        <v>KI9012071998,</v>
      </c>
    </row>
    <row r="97" spans="3:4">
      <c r="C97" t="s">
        <v>2319</v>
      </c>
      <c r="D97" t="str">
        <f t="shared" si="3"/>
        <v>LE9012073624,</v>
      </c>
    </row>
    <row r="98" spans="3:4">
      <c r="C98" t="s">
        <v>2320</v>
      </c>
      <c r="D98" t="str">
        <f t="shared" si="3"/>
        <v>KI9012066915,</v>
      </c>
    </row>
    <row r="99" spans="3:4">
      <c r="C99" t="s">
        <v>2321</v>
      </c>
      <c r="D99" t="str">
        <f t="shared" si="3"/>
        <v>FS7512193580,</v>
      </c>
    </row>
    <row r="100" spans="3:4">
      <c r="C100" t="s">
        <v>2322</v>
      </c>
      <c r="D100" t="str">
        <f t="shared" si="3"/>
        <v>MN7513089363,</v>
      </c>
    </row>
    <row r="101" spans="3:4">
      <c r="C101" t="s">
        <v>2323</v>
      </c>
      <c r="D101" t="str">
        <f t="shared" si="3"/>
        <v>LE9012062920,</v>
      </c>
    </row>
    <row r="102" spans="3:4">
      <c r="C102" t="s">
        <v>2324</v>
      </c>
      <c r="D102" t="str">
        <f t="shared" si="3"/>
        <v>ID9012086650,</v>
      </c>
    </row>
    <row r="103" spans="3:4">
      <c r="C103" t="s">
        <v>2325</v>
      </c>
      <c r="D103" t="str">
        <f t="shared" si="3"/>
        <v>KI0065279358,</v>
      </c>
    </row>
    <row r="104" spans="3:4">
      <c r="C104" t="s">
        <v>2326</v>
      </c>
      <c r="D104" t="str">
        <f t="shared" si="3"/>
        <v>LE9012070242,</v>
      </c>
    </row>
    <row r="105" spans="3:4">
      <c r="C105" t="s">
        <v>2327</v>
      </c>
      <c r="D105" t="str">
        <f t="shared" si="3"/>
        <v>KI7508940346,</v>
      </c>
    </row>
    <row r="106" spans="3:4">
      <c r="C106" t="s">
        <v>2328</v>
      </c>
      <c r="D106" t="str">
        <f t="shared" si="3"/>
        <v>KI9012071591,</v>
      </c>
    </row>
    <row r="107" spans="3:4">
      <c r="C107" t="s">
        <v>2329</v>
      </c>
      <c r="D107" t="str">
        <f t="shared" si="3"/>
        <v>LE9012072803,</v>
      </c>
    </row>
    <row r="108" spans="3:4">
      <c r="C108" t="s">
        <v>2330</v>
      </c>
      <c r="D108" t="str">
        <f t="shared" si="3"/>
        <v>ID9011572622,</v>
      </c>
    </row>
    <row r="109" spans="3:4">
      <c r="C109" t="s">
        <v>2331</v>
      </c>
      <c r="D109" t="str">
        <f t="shared" si="3"/>
        <v>KA9011933971,</v>
      </c>
    </row>
    <row r="110" spans="3:4">
      <c r="C110" t="s">
        <v>2332</v>
      </c>
      <c r="D110" t="str">
        <f t="shared" si="3"/>
        <v>LE9012061808,</v>
      </c>
    </row>
    <row r="111" spans="3:4">
      <c r="C111" t="s">
        <v>2333</v>
      </c>
      <c r="D111" t="str">
        <f t="shared" si="3"/>
        <v>LE7510164877,</v>
      </c>
    </row>
    <row r="112" spans="3:4">
      <c r="C112" t="s">
        <v>2334</v>
      </c>
      <c r="D112" t="str">
        <f t="shared" si="3"/>
        <v>FS7512198473,</v>
      </c>
    </row>
    <row r="113" spans="3:4">
      <c r="C113" t="s">
        <v>2335</v>
      </c>
      <c r="D113" t="str">
        <f t="shared" si="3"/>
        <v>LE9012071707,</v>
      </c>
    </row>
    <row r="114" spans="3:4">
      <c r="C114" t="s">
        <v>2336</v>
      </c>
      <c r="D114" t="str">
        <f t="shared" si="3"/>
        <v>LE9012072123,</v>
      </c>
    </row>
    <row r="115" spans="3:4">
      <c r="C115" t="s">
        <v>2337</v>
      </c>
      <c r="D115" t="str">
        <f t="shared" si="3"/>
        <v>AB7507599757,</v>
      </c>
    </row>
    <row r="116" spans="3:4">
      <c r="C116" t="s">
        <v>2338</v>
      </c>
      <c r="D116" t="str">
        <f t="shared" si="3"/>
        <v>LE9012060027,</v>
      </c>
    </row>
    <row r="117" spans="3:4">
      <c r="C117" t="s">
        <v>2339</v>
      </c>
      <c r="D117" t="str">
        <f t="shared" si="3"/>
        <v>LE9012064486,</v>
      </c>
    </row>
    <row r="118" spans="3:4">
      <c r="C118" t="s">
        <v>2340</v>
      </c>
      <c r="D118" t="str">
        <f t="shared" si="3"/>
        <v>MX7512997869,</v>
      </c>
    </row>
    <row r="119" spans="3:4">
      <c r="C119" t="s">
        <v>2341</v>
      </c>
      <c r="D119" t="str">
        <f t="shared" si="3"/>
        <v>KI7508859208,</v>
      </c>
    </row>
    <row r="120" spans="3:4">
      <c r="C120" t="s">
        <v>2342</v>
      </c>
      <c r="D120" t="str">
        <f t="shared" si="3"/>
        <v>PW9012083014,</v>
      </c>
    </row>
    <row r="121" spans="3:4">
      <c r="C121" t="s">
        <v>2343</v>
      </c>
      <c r="D121" t="str">
        <f t="shared" si="3"/>
        <v>LE9012062055,</v>
      </c>
    </row>
    <row r="122" spans="3:4">
      <c r="C122" t="s">
        <v>2344</v>
      </c>
      <c r="D122" t="str">
        <f t="shared" si="3"/>
        <v>LE9012057764,</v>
      </c>
    </row>
    <row r="123" spans="3:4">
      <c r="C123" t="s">
        <v>2345</v>
      </c>
      <c r="D123" t="str">
        <f t="shared" si="3"/>
        <v>KI7508941466,</v>
      </c>
    </row>
    <row r="124" spans="3:4">
      <c r="C124" t="s">
        <v>2346</v>
      </c>
      <c r="D124" t="str">
        <f t="shared" si="3"/>
        <v>ID7512545870,</v>
      </c>
    </row>
    <row r="125" spans="3:4">
      <c r="C125" t="s">
        <v>2347</v>
      </c>
      <c r="D125" t="str">
        <f t="shared" si="3"/>
        <v>LK9012077171,</v>
      </c>
    </row>
    <row r="126" spans="3:4">
      <c r="C126" t="s">
        <v>2348</v>
      </c>
      <c r="D126" t="str">
        <f t="shared" si="3"/>
        <v>RN9012068415,</v>
      </c>
    </row>
    <row r="127" spans="3:4">
      <c r="C127" t="s">
        <v>2349</v>
      </c>
      <c r="D127" t="str">
        <f t="shared" si="3"/>
        <v>LE7510147633,</v>
      </c>
    </row>
    <row r="128" spans="3:4">
      <c r="C128" t="s">
        <v>2350</v>
      </c>
      <c r="D128" t="str">
        <f t="shared" si="3"/>
        <v>LE9012031980,</v>
      </c>
    </row>
    <row r="129" spans="3:4">
      <c r="C129" t="s">
        <v>2351</v>
      </c>
      <c r="D129" t="str">
        <f t="shared" si="3"/>
        <v>PW7513563727,</v>
      </c>
    </row>
    <row r="130" spans="3:4">
      <c r="C130" t="s">
        <v>2352</v>
      </c>
      <c r="D130" t="str">
        <f t="shared" si="3"/>
        <v>LE7510163236,</v>
      </c>
    </row>
    <row r="131" spans="3:4">
      <c r="C131" t="s">
        <v>2353</v>
      </c>
      <c r="D131" t="str">
        <f t="shared" si="3"/>
        <v>LE9012064574,</v>
      </c>
    </row>
    <row r="132" spans="3:4">
      <c r="C132" t="s">
        <v>2354</v>
      </c>
      <c r="D132" t="str">
        <f t="shared" si="3"/>
        <v>KI9012064232,</v>
      </c>
    </row>
    <row r="133" spans="3:4">
      <c r="C133" t="s">
        <v>2355</v>
      </c>
      <c r="D133" t="str">
        <f t="shared" si="3"/>
        <v>LE7510169109,</v>
      </c>
    </row>
    <row r="134" spans="3:4">
      <c r="C134" t="s">
        <v>2356</v>
      </c>
      <c r="D134" t="str">
        <f t="shared" si="3"/>
        <v>KI7508860050,</v>
      </c>
    </row>
    <row r="135" spans="3:4">
      <c r="C135" t="s">
        <v>2357</v>
      </c>
      <c r="D135" t="str">
        <f t="shared" si="3"/>
        <v>KI7508972952,</v>
      </c>
    </row>
    <row r="136" spans="3:4">
      <c r="C136" t="s">
        <v>2358</v>
      </c>
      <c r="D136" t="str">
        <f t="shared" si="3"/>
        <v>FS7512192522,</v>
      </c>
    </row>
    <row r="137" spans="3:4">
      <c r="C137" t="s">
        <v>2359</v>
      </c>
      <c r="D137" t="str">
        <f t="shared" si="3"/>
        <v>FS7512170629,</v>
      </c>
    </row>
    <row r="138" spans="3:4">
      <c r="C138" t="s">
        <v>2360</v>
      </c>
      <c r="D138" t="str">
        <f t="shared" si="3"/>
        <v>ID9011571468,</v>
      </c>
    </row>
    <row r="139" spans="3:4">
      <c r="C139" t="s">
        <v>2361</v>
      </c>
      <c r="D139" t="str">
        <f t="shared" si="3"/>
        <v>LE9012070626,</v>
      </c>
    </row>
    <row r="140" spans="3:4">
      <c r="C140" t="s">
        <v>2362</v>
      </c>
      <c r="D140" t="str">
        <f t="shared" si="3"/>
        <v>LE9012059816,</v>
      </c>
    </row>
    <row r="141" spans="3:4">
      <c r="C141" t="s">
        <v>2363</v>
      </c>
      <c r="D141" t="str">
        <f t="shared" si="3"/>
        <v>MX9012078437,</v>
      </c>
    </row>
    <row r="142" spans="3:4">
      <c r="C142" t="s">
        <v>2364</v>
      </c>
      <c r="D142" t="str">
        <f t="shared" si="3"/>
        <v>PW7513555875,</v>
      </c>
    </row>
    <row r="143" spans="3:4">
      <c r="C143" t="s">
        <v>2365</v>
      </c>
      <c r="D143" t="str">
        <f t="shared" si="3"/>
        <v>ID9012047819,</v>
      </c>
    </row>
    <row r="144" spans="3:4">
      <c r="C144" t="s">
        <v>2366</v>
      </c>
      <c r="D144" t="str">
        <f t="shared" si="3"/>
        <v>ID9011572789,</v>
      </c>
    </row>
    <row r="145" spans="3:4">
      <c r="C145" t="s">
        <v>2367</v>
      </c>
      <c r="D145" t="str">
        <f t="shared" si="3"/>
        <v>ID7512548134,</v>
      </c>
    </row>
    <row r="146" spans="3:4">
      <c r="C146" t="s">
        <v>2368</v>
      </c>
      <c r="D146" t="str">
        <f t="shared" si="3"/>
        <v>KI7508900051,</v>
      </c>
    </row>
    <row r="147" spans="3:4">
      <c r="C147" t="s">
        <v>2369</v>
      </c>
      <c r="D147" t="str">
        <f t="shared" si="3"/>
        <v>KI9012070781,</v>
      </c>
    </row>
    <row r="148" spans="3:4">
      <c r="C148" t="s">
        <v>2370</v>
      </c>
      <c r="D148" t="str">
        <f t="shared" si="3"/>
        <v>LE9012072139,</v>
      </c>
    </row>
    <row r="149" spans="3:4">
      <c r="C149" t="s">
        <v>2371</v>
      </c>
      <c r="D149" t="str">
        <f t="shared" si="3"/>
        <v>KI9012063451,</v>
      </c>
    </row>
    <row r="150" spans="3:4">
      <c r="C150" t="s">
        <v>2372</v>
      </c>
      <c r="D150" t="str">
        <f t="shared" si="3"/>
        <v>LE9012059137,</v>
      </c>
    </row>
    <row r="151" spans="3:4">
      <c r="C151" t="s">
        <v>2373</v>
      </c>
      <c r="D151" t="str">
        <f t="shared" si="3"/>
        <v>KI7508940345,</v>
      </c>
    </row>
    <row r="152" spans="3:4">
      <c r="C152" t="s">
        <v>2374</v>
      </c>
      <c r="D152" t="str">
        <f t="shared" si="3"/>
        <v>KI7508773894,</v>
      </c>
    </row>
    <row r="153" spans="3:4">
      <c r="C153" t="s">
        <v>2375</v>
      </c>
      <c r="D153" t="str">
        <f t="shared" si="3"/>
        <v>FS7512359958,</v>
      </c>
    </row>
    <row r="154" spans="3:4">
      <c r="C154" t="s">
        <v>2376</v>
      </c>
      <c r="D154" t="str">
        <f t="shared" si="3"/>
        <v>KI7508729155,</v>
      </c>
    </row>
    <row r="155" spans="3:4">
      <c r="C155" t="s">
        <v>1901</v>
      </c>
      <c r="D155" t="str">
        <f t="shared" si="3"/>
        <v>KL7513990526,</v>
      </c>
    </row>
    <row r="156" spans="3:4">
      <c r="C156" t="s">
        <v>2377</v>
      </c>
      <c r="D156" t="str">
        <f t="shared" si="3"/>
        <v>FS7512182942,</v>
      </c>
    </row>
    <row r="157" spans="3:4">
      <c r="C157" t="s">
        <v>2378</v>
      </c>
      <c r="D157" t="str">
        <f t="shared" si="3"/>
        <v>OK7514368767,</v>
      </c>
    </row>
    <row r="158" spans="3:4">
      <c r="C158" t="s">
        <v>2379</v>
      </c>
      <c r="D158" t="str">
        <f t="shared" si="3"/>
        <v>KI7508966303,</v>
      </c>
    </row>
    <row r="159" spans="3:4">
      <c r="C159" t="s">
        <v>2380</v>
      </c>
      <c r="D159" t="str">
        <f t="shared" ref="D159:D222" si="4">""&amp;C159&amp;","</f>
        <v>SZ7513632472,</v>
      </c>
    </row>
    <row r="160" spans="3:4">
      <c r="C160" t="s">
        <v>2381</v>
      </c>
      <c r="D160" t="str">
        <f t="shared" si="4"/>
        <v>KI7508953126,</v>
      </c>
    </row>
    <row r="161" spans="3:4">
      <c r="C161" t="s">
        <v>2382</v>
      </c>
      <c r="D161" t="str">
        <f t="shared" si="4"/>
        <v>MX7512765442,</v>
      </c>
    </row>
    <row r="162" spans="3:4">
      <c r="C162" t="s">
        <v>2383</v>
      </c>
      <c r="D162" t="str">
        <f t="shared" si="4"/>
        <v>FS7512196113,</v>
      </c>
    </row>
    <row r="163" spans="3:4">
      <c r="C163" t="s">
        <v>2384</v>
      </c>
      <c r="D163" t="str">
        <f t="shared" si="4"/>
        <v>RW7502482187,</v>
      </c>
    </row>
    <row r="164" spans="3:4">
      <c r="C164" t="s">
        <v>2385</v>
      </c>
      <c r="D164" t="str">
        <f t="shared" si="4"/>
        <v>RW7502482139,</v>
      </c>
    </row>
    <row r="165" spans="3:4">
      <c r="C165" t="s">
        <v>2386</v>
      </c>
      <c r="D165" t="str">
        <f t="shared" si="4"/>
        <v>KI9012068405,</v>
      </c>
    </row>
    <row r="166" spans="3:4">
      <c r="C166" t="s">
        <v>2387</v>
      </c>
      <c r="D166" t="str">
        <f t="shared" si="4"/>
        <v>SA7514080668,</v>
      </c>
    </row>
    <row r="167" spans="3:4">
      <c r="C167" t="s">
        <v>2388</v>
      </c>
      <c r="D167" t="str">
        <f t="shared" si="4"/>
        <v>HD7514723328,</v>
      </c>
    </row>
    <row r="168" spans="3:4">
      <c r="C168" t="s">
        <v>2389</v>
      </c>
      <c r="D168" t="str">
        <f t="shared" si="4"/>
        <v>LE7510149418,</v>
      </c>
    </row>
    <row r="169" spans="3:4">
      <c r="C169" t="s">
        <v>2390</v>
      </c>
      <c r="D169" t="str">
        <f t="shared" si="4"/>
        <v>LE7508431117,</v>
      </c>
    </row>
    <row r="170" spans="3:4">
      <c r="C170" t="s">
        <v>2391</v>
      </c>
      <c r="D170" t="str">
        <f t="shared" si="4"/>
        <v>FS7512191190,</v>
      </c>
    </row>
    <row r="171" spans="3:4">
      <c r="C171" t="s">
        <v>2392</v>
      </c>
      <c r="D171" t="str">
        <f t="shared" si="4"/>
        <v>FS7512195730,</v>
      </c>
    </row>
    <row r="172" spans="3:4">
      <c r="C172" t="s">
        <v>2393</v>
      </c>
      <c r="D172" t="str">
        <f t="shared" si="4"/>
        <v>FS7512178617,</v>
      </c>
    </row>
    <row r="173" spans="3:4">
      <c r="C173" t="s">
        <v>2394</v>
      </c>
      <c r="D173" t="str">
        <f t="shared" si="4"/>
        <v>PW7513562009,</v>
      </c>
    </row>
    <row r="174" spans="3:4">
      <c r="C174" t="s">
        <v>2395</v>
      </c>
      <c r="D174" t="str">
        <f t="shared" si="4"/>
        <v>FS7512181899,</v>
      </c>
    </row>
    <row r="175" spans="3:4">
      <c r="C175" t="s">
        <v>2396</v>
      </c>
      <c r="D175" t="str">
        <f t="shared" si="4"/>
        <v>RW0060928563,</v>
      </c>
    </row>
    <row r="176" spans="3:4">
      <c r="C176" t="s">
        <v>2397</v>
      </c>
      <c r="D176" t="str">
        <f t="shared" si="4"/>
        <v>FS7512205815,</v>
      </c>
    </row>
    <row r="177" spans="3:4">
      <c r="C177" t="s">
        <v>2398</v>
      </c>
      <c r="D177" t="str">
        <f t="shared" si="4"/>
        <v>DP7508562532,</v>
      </c>
    </row>
    <row r="178" spans="3:4">
      <c r="C178" t="s">
        <v>2399</v>
      </c>
      <c r="D178" t="str">
        <f t="shared" si="4"/>
        <v>KI7508910947,</v>
      </c>
    </row>
    <row r="179" spans="3:4">
      <c r="C179" t="s">
        <v>2400</v>
      </c>
      <c r="D179" t="str">
        <f t="shared" si="4"/>
        <v>LE7501239756,</v>
      </c>
    </row>
    <row r="180" spans="3:4">
      <c r="C180" t="s">
        <v>2401</v>
      </c>
      <c r="D180" t="str">
        <f t="shared" si="4"/>
        <v>FS7512113051,</v>
      </c>
    </row>
    <row r="181" spans="3:4">
      <c r="C181" t="s">
        <v>2402</v>
      </c>
      <c r="D181" t="str">
        <f t="shared" si="4"/>
        <v>SA7514077412,</v>
      </c>
    </row>
    <row r="182" spans="3:4">
      <c r="C182" t="s">
        <v>2403</v>
      </c>
      <c r="D182" t="str">
        <f t="shared" si="4"/>
        <v>LE7510112924,</v>
      </c>
    </row>
    <row r="183" spans="3:4">
      <c r="C183" t="s">
        <v>2404</v>
      </c>
      <c r="D183" t="str">
        <f t="shared" si="4"/>
        <v>MX7512760375,</v>
      </c>
    </row>
    <row r="184" spans="3:4">
      <c r="C184" t="s">
        <v>2405</v>
      </c>
      <c r="D184" t="str">
        <f t="shared" si="4"/>
        <v>MM9011779282,</v>
      </c>
    </row>
    <row r="185" spans="3:4">
      <c r="C185" t="s">
        <v>2406</v>
      </c>
      <c r="D185" t="str">
        <f t="shared" si="4"/>
        <v>SQ7503446813,</v>
      </c>
    </row>
    <row r="186" spans="3:4">
      <c r="C186" t="s">
        <v>2407</v>
      </c>
      <c r="D186" t="str">
        <f t="shared" si="4"/>
        <v>KI7508931290,</v>
      </c>
    </row>
    <row r="187" spans="3:4">
      <c r="C187" t="s">
        <v>2408</v>
      </c>
      <c r="D187" t="str">
        <f t="shared" si="4"/>
        <v>RW7502482129,</v>
      </c>
    </row>
    <row r="188" spans="3:4">
      <c r="C188" t="s">
        <v>2409</v>
      </c>
      <c r="D188" t="str">
        <f t="shared" si="4"/>
        <v>LE7510102745,</v>
      </c>
    </row>
    <row r="189" spans="3:4">
      <c r="C189" t="s">
        <v>2410</v>
      </c>
      <c r="D189" t="str">
        <f t="shared" si="4"/>
        <v>LE7510170802,</v>
      </c>
    </row>
    <row r="190" spans="3:4">
      <c r="C190" t="s">
        <v>2411</v>
      </c>
      <c r="D190" t="str">
        <f t="shared" si="4"/>
        <v>RY7506830876,</v>
      </c>
    </row>
    <row r="191" spans="3:4">
      <c r="C191" t="s">
        <v>2412</v>
      </c>
      <c r="D191" t="str">
        <f t="shared" si="4"/>
        <v>FS7512174099,</v>
      </c>
    </row>
    <row r="192" spans="3:4">
      <c r="C192" t="s">
        <v>2413</v>
      </c>
      <c r="D192" t="str">
        <f t="shared" si="4"/>
        <v>FS7512117829,</v>
      </c>
    </row>
    <row r="193" spans="3:4">
      <c r="C193" t="s">
        <v>2414</v>
      </c>
      <c r="D193" t="str">
        <f t="shared" si="4"/>
        <v>FS7512176956,</v>
      </c>
    </row>
    <row r="194" spans="3:4">
      <c r="C194" t="s">
        <v>2415</v>
      </c>
      <c r="D194" t="str">
        <f t="shared" si="4"/>
        <v>GT7514190272,</v>
      </c>
    </row>
    <row r="195" spans="3:4">
      <c r="C195" t="s">
        <v>2416</v>
      </c>
      <c r="D195" t="str">
        <f t="shared" si="4"/>
        <v>FS7512202333,</v>
      </c>
    </row>
    <row r="196" spans="3:4">
      <c r="C196" t="s">
        <v>2417</v>
      </c>
      <c r="D196" t="str">
        <f t="shared" si="4"/>
        <v>JR7513596915,</v>
      </c>
    </row>
    <row r="197" spans="3:4">
      <c r="C197" t="s">
        <v>2418</v>
      </c>
      <c r="D197" t="str">
        <f t="shared" si="4"/>
        <v>MX7512766748,</v>
      </c>
    </row>
    <row r="198" spans="3:4">
      <c r="C198" t="s">
        <v>2419</v>
      </c>
      <c r="D198" t="str">
        <f t="shared" si="4"/>
        <v>OK7514472858,</v>
      </c>
    </row>
    <row r="199" spans="3:4">
      <c r="C199" t="s">
        <v>2420</v>
      </c>
      <c r="D199" t="str">
        <f t="shared" si="4"/>
        <v>KI9012059870,</v>
      </c>
    </row>
    <row r="200" spans="3:4">
      <c r="C200" t="s">
        <v>2421</v>
      </c>
      <c r="D200" t="str">
        <f t="shared" si="4"/>
        <v>KP7514170234,</v>
      </c>
    </row>
    <row r="201" spans="3:4">
      <c r="C201" t="s">
        <v>2422</v>
      </c>
      <c r="D201" t="str">
        <f t="shared" si="4"/>
        <v>FS7512206387,</v>
      </c>
    </row>
    <row r="202" spans="3:4">
      <c r="C202" t="s">
        <v>2423</v>
      </c>
      <c r="D202" t="str">
        <f t="shared" si="4"/>
        <v>SA7514080507,</v>
      </c>
    </row>
    <row r="203" spans="3:4">
      <c r="C203" t="s">
        <v>2424</v>
      </c>
      <c r="D203" t="str">
        <f t="shared" si="4"/>
        <v>KL7513698931,</v>
      </c>
    </row>
    <row r="204" spans="3:4">
      <c r="C204" t="s">
        <v>2425</v>
      </c>
      <c r="D204" t="str">
        <f t="shared" si="4"/>
        <v>KI7508954054,</v>
      </c>
    </row>
    <row r="205" spans="3:4">
      <c r="C205" t="s">
        <v>2426</v>
      </c>
      <c r="D205" t="str">
        <f t="shared" si="4"/>
        <v>FS7512134829,</v>
      </c>
    </row>
    <row r="206" spans="3:4">
      <c r="C206" t="s">
        <v>2427</v>
      </c>
      <c r="D206" t="str">
        <f t="shared" si="4"/>
        <v>FS7512193417,</v>
      </c>
    </row>
    <row r="207" spans="3:4">
      <c r="C207" t="s">
        <v>2428</v>
      </c>
      <c r="D207" t="str">
        <f t="shared" si="4"/>
        <v>LE7510169510,</v>
      </c>
    </row>
    <row r="208" spans="3:4">
      <c r="C208" t="s">
        <v>2237</v>
      </c>
      <c r="D208" t="str">
        <f t="shared" si="4"/>
        <v>FS7512158644,</v>
      </c>
    </row>
    <row r="209" spans="3:4">
      <c r="C209" t="s">
        <v>2236</v>
      </c>
      <c r="D209" t="str">
        <f t="shared" si="4"/>
        <v>FS7512166142,</v>
      </c>
    </row>
    <row r="210" spans="3:4">
      <c r="C210" t="s">
        <v>2108</v>
      </c>
      <c r="D210" t="str">
        <f t="shared" si="4"/>
        <v>KI7508857679,</v>
      </c>
    </row>
    <row r="211" spans="3:4">
      <c r="C211" t="s">
        <v>2238</v>
      </c>
      <c r="D211" t="str">
        <f t="shared" si="4"/>
        <v>LE7501240367,</v>
      </c>
    </row>
    <row r="212" spans="3:4">
      <c r="C212" t="s">
        <v>2239</v>
      </c>
      <c r="D212" t="str">
        <f t="shared" si="4"/>
        <v>LE7510140691,</v>
      </c>
    </row>
    <row r="213" spans="3:4">
      <c r="C213" t="s">
        <v>2240</v>
      </c>
      <c r="D213" t="str">
        <f t="shared" si="4"/>
        <v>MX7512759021,</v>
      </c>
    </row>
    <row r="214" spans="3:4">
      <c r="C214" t="s">
        <v>2429</v>
      </c>
      <c r="D214" t="str">
        <f t="shared" si="4"/>
        <v>KI7508868332,</v>
      </c>
    </row>
    <row r="215" spans="3:4">
      <c r="C215" t="s">
        <v>2430</v>
      </c>
      <c r="D215" t="str">
        <f t="shared" si="4"/>
        <v>KI9012067181,</v>
      </c>
    </row>
    <row r="216" spans="3:4">
      <c r="C216" t="s">
        <v>2431</v>
      </c>
      <c r="D216" t="str">
        <f t="shared" si="4"/>
        <v>KI7508946991,</v>
      </c>
    </row>
    <row r="217" spans="3:4">
      <c r="C217" t="s">
        <v>2432</v>
      </c>
      <c r="D217" t="str">
        <f t="shared" si="4"/>
        <v>FS7512167699,</v>
      </c>
    </row>
    <row r="218" spans="3:4">
      <c r="C218" t="s">
        <v>2433</v>
      </c>
      <c r="D218" t="str">
        <f t="shared" si="4"/>
        <v>LE7508485375,</v>
      </c>
    </row>
    <row r="219" spans="3:4">
      <c r="C219" t="s">
        <v>2434</v>
      </c>
      <c r="D219" t="str">
        <f t="shared" si="4"/>
        <v>LO7504252605,</v>
      </c>
    </row>
    <row r="220" spans="3:4">
      <c r="C220" t="s">
        <v>2435</v>
      </c>
      <c r="D220" t="str">
        <f t="shared" si="4"/>
        <v>FS7512120853,</v>
      </c>
    </row>
    <row r="221" spans="3:4">
      <c r="C221" t="s">
        <v>2436</v>
      </c>
      <c r="D221" t="str">
        <f t="shared" si="4"/>
        <v>KI7508912840,</v>
      </c>
    </row>
    <row r="222" spans="3:4">
      <c r="C222" t="s">
        <v>2437</v>
      </c>
      <c r="D222" t="str">
        <f t="shared" si="4"/>
        <v>KI7508939255,</v>
      </c>
    </row>
    <row r="223" spans="3:4">
      <c r="C223" t="s">
        <v>2438</v>
      </c>
      <c r="D223" t="str">
        <f t="shared" ref="D223:D286" si="5">""&amp;C223&amp;","</f>
        <v>MX7512767226,</v>
      </c>
    </row>
    <row r="224" spans="3:4">
      <c r="C224" t="s">
        <v>2439</v>
      </c>
      <c r="D224" t="str">
        <f t="shared" si="5"/>
        <v>KI7508908701,</v>
      </c>
    </row>
    <row r="225" spans="3:4">
      <c r="C225" t="s">
        <v>2440</v>
      </c>
      <c r="D225" t="str">
        <f t="shared" si="5"/>
        <v>LE9012067651,</v>
      </c>
    </row>
    <row r="226" spans="3:4">
      <c r="C226" t="s">
        <v>2441</v>
      </c>
      <c r="D226" t="str">
        <f t="shared" si="5"/>
        <v>GT9011033111,</v>
      </c>
    </row>
    <row r="227" spans="3:4">
      <c r="C227" t="s">
        <v>2442</v>
      </c>
      <c r="D227" t="str">
        <f t="shared" si="5"/>
        <v>KI7500324812,</v>
      </c>
    </row>
    <row r="228" spans="3:4">
      <c r="C228" t="s">
        <v>2443</v>
      </c>
      <c r="D228" t="str">
        <f t="shared" si="5"/>
        <v>PW7513562102,</v>
      </c>
    </row>
    <row r="229" spans="3:4">
      <c r="C229" t="s">
        <v>2245</v>
      </c>
      <c r="D229" t="str">
        <f t="shared" si="5"/>
        <v>FS7512392765,</v>
      </c>
    </row>
    <row r="230" spans="3:4">
      <c r="C230" t="s">
        <v>2444</v>
      </c>
      <c r="D230" t="str">
        <f t="shared" si="5"/>
        <v>KI7508932684,</v>
      </c>
    </row>
    <row r="231" spans="3:4">
      <c r="C231" t="s">
        <v>2445</v>
      </c>
      <c r="D231" t="str">
        <f t="shared" si="5"/>
        <v>LE7510128366,</v>
      </c>
    </row>
    <row r="232" spans="3:4">
      <c r="C232" t="s">
        <v>2446</v>
      </c>
      <c r="D232" t="str">
        <f t="shared" si="5"/>
        <v>BA0060845277,</v>
      </c>
    </row>
    <row r="233" spans="3:4">
      <c r="C233" t="s">
        <v>2447</v>
      </c>
      <c r="D233" t="str">
        <f t="shared" si="5"/>
        <v>FS9012059469,</v>
      </c>
    </row>
    <row r="234" spans="3:4">
      <c r="C234" t="s">
        <v>2448</v>
      </c>
      <c r="D234" t="str">
        <f t="shared" si="5"/>
        <v>FS9012071095,</v>
      </c>
    </row>
    <row r="235" spans="3:4">
      <c r="C235" t="s">
        <v>2449</v>
      </c>
      <c r="D235" t="str">
        <f t="shared" si="5"/>
        <v>GW7514766316,</v>
      </c>
    </row>
    <row r="236" spans="3:4">
      <c r="C236" t="s">
        <v>2450</v>
      </c>
      <c r="D236" t="str">
        <f t="shared" si="5"/>
        <v>KI7508867272,</v>
      </c>
    </row>
    <row r="237" spans="3:4">
      <c r="C237" t="s">
        <v>2451</v>
      </c>
      <c r="D237" t="str">
        <f t="shared" si="5"/>
        <v>KI7508872766,</v>
      </c>
    </row>
    <row r="238" spans="3:4">
      <c r="C238" t="s">
        <v>2452</v>
      </c>
      <c r="D238" t="str">
        <f t="shared" si="5"/>
        <v>KI7508927723,</v>
      </c>
    </row>
    <row r="239" spans="3:4">
      <c r="C239" t="s">
        <v>2453</v>
      </c>
      <c r="D239" t="str">
        <f t="shared" si="5"/>
        <v>KI7508934791,</v>
      </c>
    </row>
    <row r="240" spans="3:4">
      <c r="C240" t="s">
        <v>2454</v>
      </c>
      <c r="D240" t="str">
        <f t="shared" si="5"/>
        <v>KI7508962922,</v>
      </c>
    </row>
    <row r="241" spans="3:4">
      <c r="C241" t="s">
        <v>2455</v>
      </c>
      <c r="D241" t="str">
        <f t="shared" si="5"/>
        <v>KI7508964078,</v>
      </c>
    </row>
    <row r="242" spans="3:4">
      <c r="C242" t="s">
        <v>2456</v>
      </c>
      <c r="D242" t="str">
        <f t="shared" si="5"/>
        <v>KI9012050807,</v>
      </c>
    </row>
    <row r="243" spans="3:4">
      <c r="C243" t="s">
        <v>2457</v>
      </c>
      <c r="D243" t="str">
        <f t="shared" si="5"/>
        <v>KI9012059667,</v>
      </c>
    </row>
    <row r="244" spans="3:4">
      <c r="C244" t="s">
        <v>2458</v>
      </c>
      <c r="D244" t="str">
        <f t="shared" si="5"/>
        <v>KI9012061525,</v>
      </c>
    </row>
    <row r="245" spans="3:4">
      <c r="C245" t="s">
        <v>2459</v>
      </c>
      <c r="D245" t="str">
        <f t="shared" si="5"/>
        <v>KI9012064624,</v>
      </c>
    </row>
    <row r="246" spans="3:4">
      <c r="C246" t="s">
        <v>2460</v>
      </c>
      <c r="D246" t="str">
        <f t="shared" si="5"/>
        <v>KI9012070663,</v>
      </c>
    </row>
    <row r="247" spans="3:4">
      <c r="C247" t="s">
        <v>2461</v>
      </c>
      <c r="D247" t="str">
        <f t="shared" si="5"/>
        <v>KI9012071682,</v>
      </c>
    </row>
    <row r="248" spans="3:4">
      <c r="C248" t="s">
        <v>2462</v>
      </c>
      <c r="D248" t="str">
        <f t="shared" si="5"/>
        <v>LE7510141006,</v>
      </c>
    </row>
    <row r="249" spans="3:4">
      <c r="C249" t="s">
        <v>2463</v>
      </c>
      <c r="D249" t="str">
        <f t="shared" si="5"/>
        <v>RN7514617252,</v>
      </c>
    </row>
    <row r="250" spans="3:4">
      <c r="C250" t="s">
        <v>2464</v>
      </c>
      <c r="D250" t="str">
        <f t="shared" si="5"/>
        <v>CC9012044816,</v>
      </c>
    </row>
    <row r="251" spans="3:4">
      <c r="C251" t="s">
        <v>2465</v>
      </c>
      <c r="D251" t="str">
        <f t="shared" si="5"/>
        <v>ID9012067309,</v>
      </c>
    </row>
    <row r="252" spans="3:4">
      <c r="C252" t="s">
        <v>2466</v>
      </c>
      <c r="D252" t="str">
        <f t="shared" si="5"/>
        <v>KI7508829479,</v>
      </c>
    </row>
    <row r="253" spans="3:4">
      <c r="C253" t="s">
        <v>2467</v>
      </c>
      <c r="D253" t="str">
        <f t="shared" si="5"/>
        <v>KI7508954042,</v>
      </c>
    </row>
    <row r="254" spans="3:4">
      <c r="C254" t="s">
        <v>2468</v>
      </c>
      <c r="D254" t="str">
        <f t="shared" si="5"/>
        <v>KI7508974235,</v>
      </c>
    </row>
    <row r="255" spans="3:4">
      <c r="C255" t="s">
        <v>2469</v>
      </c>
      <c r="D255" t="str">
        <f t="shared" si="5"/>
        <v>KI9012054946,</v>
      </c>
    </row>
    <row r="256" spans="3:4">
      <c r="C256" t="s">
        <v>2470</v>
      </c>
      <c r="D256" t="str">
        <f t="shared" si="5"/>
        <v>KI9012054948,</v>
      </c>
    </row>
    <row r="257" spans="3:4">
      <c r="C257" t="s">
        <v>2471</v>
      </c>
      <c r="D257" t="str">
        <f t="shared" si="5"/>
        <v>KI9012055592,</v>
      </c>
    </row>
    <row r="258" spans="3:4">
      <c r="C258" t="s">
        <v>2472</v>
      </c>
      <c r="D258" t="str">
        <f t="shared" si="5"/>
        <v>KI9012056255,</v>
      </c>
    </row>
    <row r="259" spans="3:4">
      <c r="C259" t="s">
        <v>2473</v>
      </c>
      <c r="D259" t="str">
        <f t="shared" si="5"/>
        <v>KI9012064984,</v>
      </c>
    </row>
    <row r="260" spans="3:4">
      <c r="C260" t="s">
        <v>2474</v>
      </c>
      <c r="D260" t="str">
        <f t="shared" si="5"/>
        <v>KI9012070559,</v>
      </c>
    </row>
    <row r="261" spans="3:4">
      <c r="C261" t="s">
        <v>2475</v>
      </c>
      <c r="D261" t="str">
        <f t="shared" si="5"/>
        <v>LE7510160338,</v>
      </c>
    </row>
    <row r="262" spans="3:4">
      <c r="C262" t="s">
        <v>2476</v>
      </c>
      <c r="D262" t="str">
        <f t="shared" si="5"/>
        <v>LE9012044602,</v>
      </c>
    </row>
    <row r="263" spans="3:4">
      <c r="C263" t="s">
        <v>2477</v>
      </c>
      <c r="D263" t="str">
        <f t="shared" si="5"/>
        <v>LE9012057618,</v>
      </c>
    </row>
    <row r="264" spans="3:4">
      <c r="C264" t="s">
        <v>2478</v>
      </c>
      <c r="D264" t="str">
        <f t="shared" si="5"/>
        <v>LE9012058301,</v>
      </c>
    </row>
    <row r="265" spans="3:4">
      <c r="C265" t="s">
        <v>2479</v>
      </c>
      <c r="D265" t="str">
        <f t="shared" si="5"/>
        <v>LE9012061819,</v>
      </c>
    </row>
    <row r="266" spans="3:4">
      <c r="C266" t="s">
        <v>2480</v>
      </c>
      <c r="D266" t="str">
        <f t="shared" si="5"/>
        <v>LE9012064443,</v>
      </c>
    </row>
    <row r="267" spans="3:4">
      <c r="C267" t="s">
        <v>2481</v>
      </c>
      <c r="D267" t="str">
        <f t="shared" si="5"/>
        <v>RW7515001062,</v>
      </c>
    </row>
    <row r="268" spans="3:4">
      <c r="C268" t="s">
        <v>2482</v>
      </c>
      <c r="D268" t="str">
        <f t="shared" si="5"/>
        <v>SF0060920529,</v>
      </c>
    </row>
    <row r="269" spans="3:4">
      <c r="C269" t="s">
        <v>2483</v>
      </c>
      <c r="D269" t="str">
        <f t="shared" si="5"/>
        <v>ST9011929898,</v>
      </c>
    </row>
    <row r="270" spans="3:4">
      <c r="C270" t="s">
        <v>2484</v>
      </c>
      <c r="D270" t="str">
        <f t="shared" si="5"/>
        <v>KI7500319980,</v>
      </c>
    </row>
    <row r="271" spans="3:4">
      <c r="C271" t="s">
        <v>2485</v>
      </c>
      <c r="D271" t="str">
        <f t="shared" si="5"/>
        <v>KI7508944033,</v>
      </c>
    </row>
    <row r="272" spans="3:4">
      <c r="C272" t="s">
        <v>2486</v>
      </c>
      <c r="D272" t="str">
        <f t="shared" si="5"/>
        <v>KI9012069396,</v>
      </c>
    </row>
    <row r="273" spans="3:4">
      <c r="C273" t="s">
        <v>2487</v>
      </c>
      <c r="D273" t="str">
        <f t="shared" si="5"/>
        <v>LE7510133845,</v>
      </c>
    </row>
    <row r="274" spans="3:4">
      <c r="C274" t="s">
        <v>2488</v>
      </c>
      <c r="D274" t="str">
        <f t="shared" si="5"/>
        <v>LE7510137949,</v>
      </c>
    </row>
    <row r="275" spans="3:4">
      <c r="C275" t="s">
        <v>2489</v>
      </c>
      <c r="D275" t="str">
        <f t="shared" si="5"/>
        <v>FS7512178152,</v>
      </c>
    </row>
    <row r="276" spans="3:4">
      <c r="C276" t="s">
        <v>2490</v>
      </c>
      <c r="D276" t="str">
        <f t="shared" si="5"/>
        <v>ID7512539637,</v>
      </c>
    </row>
    <row r="277" spans="3:4">
      <c r="C277" t="s">
        <v>2491</v>
      </c>
      <c r="D277" t="str">
        <f t="shared" si="5"/>
        <v>ID9011571467,</v>
      </c>
    </row>
    <row r="278" spans="3:4">
      <c r="C278" t="s">
        <v>2492</v>
      </c>
      <c r="D278" t="str">
        <f t="shared" si="5"/>
        <v>KI7508865921,</v>
      </c>
    </row>
    <row r="279" spans="3:4">
      <c r="C279" t="s">
        <v>2493</v>
      </c>
      <c r="D279" t="str">
        <f t="shared" si="5"/>
        <v>KI7508884256,</v>
      </c>
    </row>
    <row r="280" spans="3:4">
      <c r="C280" t="s">
        <v>2494</v>
      </c>
      <c r="D280" t="str">
        <f t="shared" si="5"/>
        <v>KI7508893620,</v>
      </c>
    </row>
    <row r="281" spans="3:4">
      <c r="C281" t="s">
        <v>2495</v>
      </c>
      <c r="D281" t="str">
        <f t="shared" si="5"/>
        <v>KI7508951369,</v>
      </c>
    </row>
    <row r="282" spans="3:4">
      <c r="C282" t="s">
        <v>2496</v>
      </c>
      <c r="D282" t="str">
        <f t="shared" si="5"/>
        <v>KI7508978212,</v>
      </c>
    </row>
    <row r="283" spans="3:4">
      <c r="C283" t="s">
        <v>2497</v>
      </c>
      <c r="D283" t="str">
        <f t="shared" si="5"/>
        <v>KI9012049808,</v>
      </c>
    </row>
    <row r="284" spans="3:4">
      <c r="C284" t="s">
        <v>2498</v>
      </c>
      <c r="D284" t="str">
        <f t="shared" si="5"/>
        <v>KI9012059494,</v>
      </c>
    </row>
    <row r="285" spans="3:4">
      <c r="C285" t="s">
        <v>2499</v>
      </c>
      <c r="D285" t="str">
        <f t="shared" si="5"/>
        <v>KI9012060009,</v>
      </c>
    </row>
    <row r="286" spans="3:4">
      <c r="C286" t="s">
        <v>2500</v>
      </c>
      <c r="D286" t="str">
        <f t="shared" si="5"/>
        <v>KI9012061646,</v>
      </c>
    </row>
    <row r="287" spans="3:4">
      <c r="C287" t="s">
        <v>2501</v>
      </c>
      <c r="D287" t="str">
        <f t="shared" ref="D287:D350" si="6">""&amp;C287&amp;","</f>
        <v>KI9012062034,</v>
      </c>
    </row>
    <row r="288" spans="3:4">
      <c r="C288" t="s">
        <v>2502</v>
      </c>
      <c r="D288" t="str">
        <f t="shared" si="6"/>
        <v>KI9012065788,</v>
      </c>
    </row>
    <row r="289" spans="3:4">
      <c r="C289" t="s">
        <v>2503</v>
      </c>
      <c r="D289" t="str">
        <f t="shared" si="6"/>
        <v>KI9012072491,</v>
      </c>
    </row>
    <row r="290" spans="3:4">
      <c r="C290" t="s">
        <v>2504</v>
      </c>
      <c r="D290" t="str">
        <f t="shared" si="6"/>
        <v>LE9012054562,</v>
      </c>
    </row>
    <row r="291" spans="3:4">
      <c r="C291" t="s">
        <v>2505</v>
      </c>
      <c r="D291" t="str">
        <f t="shared" si="6"/>
        <v>LE9012054852,</v>
      </c>
    </row>
    <row r="292" spans="3:4">
      <c r="C292" t="s">
        <v>2506</v>
      </c>
      <c r="D292" t="str">
        <f t="shared" si="6"/>
        <v>LE9012063478,</v>
      </c>
    </row>
    <row r="293" spans="3:4">
      <c r="C293" t="s">
        <v>2507</v>
      </c>
      <c r="D293" t="str">
        <f t="shared" si="6"/>
        <v>MX7512755702,</v>
      </c>
    </row>
    <row r="294" spans="3:4">
      <c r="C294" t="s">
        <v>2508</v>
      </c>
      <c r="D294" t="str">
        <f t="shared" si="6"/>
        <v>OK7514470670,</v>
      </c>
    </row>
    <row r="295" spans="3:4">
      <c r="C295" t="s">
        <v>2509</v>
      </c>
      <c r="D295" t="str">
        <f t="shared" si="6"/>
        <v>SA7514080485,</v>
      </c>
    </row>
    <row r="296" spans="3:4">
      <c r="C296" t="s">
        <v>2510</v>
      </c>
      <c r="D296" t="str">
        <f t="shared" si="6"/>
        <v>DG9011920494,</v>
      </c>
    </row>
    <row r="297" spans="3:4">
      <c r="C297" t="s">
        <v>2511</v>
      </c>
      <c r="D297" t="str">
        <f t="shared" si="6"/>
        <v>DP7508562624,</v>
      </c>
    </row>
    <row r="298" spans="3:4">
      <c r="C298" t="s">
        <v>2512</v>
      </c>
      <c r="D298" t="str">
        <f t="shared" si="6"/>
        <v>FS7512180537,</v>
      </c>
    </row>
    <row r="299" spans="3:4">
      <c r="C299" t="s">
        <v>2513</v>
      </c>
      <c r="D299" t="str">
        <f t="shared" si="6"/>
        <v>FS7512183490,</v>
      </c>
    </row>
    <row r="300" spans="3:4">
      <c r="C300" t="s">
        <v>2514</v>
      </c>
      <c r="D300" t="str">
        <f t="shared" si="6"/>
        <v>FS9012069929,</v>
      </c>
    </row>
    <row r="301" spans="3:4">
      <c r="C301" t="s">
        <v>2515</v>
      </c>
      <c r="D301" t="str">
        <f t="shared" si="6"/>
        <v>FS9012075765,</v>
      </c>
    </row>
    <row r="302" spans="3:4">
      <c r="C302" t="s">
        <v>2516</v>
      </c>
      <c r="D302" t="str">
        <f t="shared" si="6"/>
        <v>KI7508809981,</v>
      </c>
    </row>
    <row r="303" spans="3:4">
      <c r="C303" t="s">
        <v>2517</v>
      </c>
      <c r="D303" t="str">
        <f t="shared" si="6"/>
        <v>KI7508900576,</v>
      </c>
    </row>
    <row r="304" spans="3:4">
      <c r="C304" t="s">
        <v>2518</v>
      </c>
      <c r="D304" t="str">
        <f t="shared" si="6"/>
        <v>KI7508942490,</v>
      </c>
    </row>
    <row r="305" spans="3:4">
      <c r="C305" t="s">
        <v>2519</v>
      </c>
      <c r="D305" t="str">
        <f t="shared" si="6"/>
        <v>KI7508962267,</v>
      </c>
    </row>
    <row r="306" spans="3:4">
      <c r="C306" t="s">
        <v>2520</v>
      </c>
      <c r="D306" t="str">
        <f t="shared" si="6"/>
        <v>KI7508977167,</v>
      </c>
    </row>
    <row r="307" spans="3:4">
      <c r="C307" t="s">
        <v>2521</v>
      </c>
      <c r="D307" t="str">
        <f t="shared" si="6"/>
        <v>KI9012051010,</v>
      </c>
    </row>
    <row r="308" spans="3:4">
      <c r="C308" t="s">
        <v>2522</v>
      </c>
      <c r="D308" t="str">
        <f t="shared" si="6"/>
        <v>KI9012052769,</v>
      </c>
    </row>
    <row r="309" spans="3:4">
      <c r="C309" t="s">
        <v>2523</v>
      </c>
      <c r="D309" t="str">
        <f t="shared" si="6"/>
        <v>KI9012054951,</v>
      </c>
    </row>
    <row r="310" spans="3:4">
      <c r="C310" t="s">
        <v>2524</v>
      </c>
      <c r="D310" t="str">
        <f t="shared" si="6"/>
        <v>KI9012057972,</v>
      </c>
    </row>
    <row r="311" spans="3:4">
      <c r="C311" t="s">
        <v>2525</v>
      </c>
      <c r="D311" t="str">
        <f t="shared" si="6"/>
        <v>KI9012062543,</v>
      </c>
    </row>
    <row r="312" spans="3:4">
      <c r="C312" t="s">
        <v>2526</v>
      </c>
      <c r="D312" t="str">
        <f t="shared" si="6"/>
        <v>KI9012069135,</v>
      </c>
    </row>
    <row r="313" spans="3:4">
      <c r="C313" t="s">
        <v>2527</v>
      </c>
      <c r="D313" t="str">
        <f t="shared" si="6"/>
        <v>KI9012069275,</v>
      </c>
    </row>
    <row r="314" spans="3:4">
      <c r="C314" t="s">
        <v>2528</v>
      </c>
      <c r="D314" t="str">
        <f t="shared" si="6"/>
        <v>KI9012070397,</v>
      </c>
    </row>
    <row r="315" spans="3:4">
      <c r="C315" t="s">
        <v>2529</v>
      </c>
      <c r="D315" t="str">
        <f t="shared" si="6"/>
        <v>LE7510134438,</v>
      </c>
    </row>
    <row r="316" spans="3:4">
      <c r="C316" t="s">
        <v>2530</v>
      </c>
      <c r="D316" t="str">
        <f t="shared" si="6"/>
        <v>LE9012049992,</v>
      </c>
    </row>
    <row r="317" spans="3:4">
      <c r="C317" t="s">
        <v>2531</v>
      </c>
      <c r="D317" t="str">
        <f t="shared" si="6"/>
        <v>MW7503789534,</v>
      </c>
    </row>
    <row r="318" spans="3:4">
      <c r="C318" t="s">
        <v>2532</v>
      </c>
      <c r="D318" t="str">
        <f t="shared" si="6"/>
        <v>RR7503681617,</v>
      </c>
    </row>
    <row r="319" spans="3:4">
      <c r="C319" t="s">
        <v>2533</v>
      </c>
      <c r="D319" t="str">
        <f t="shared" si="6"/>
        <v>SR7503828400,</v>
      </c>
    </row>
    <row r="320" spans="3:4">
      <c r="C320" t="s">
        <v>2188</v>
      </c>
      <c r="D320" t="str">
        <f t="shared" si="6"/>
        <v>AM7513841183,</v>
      </c>
    </row>
    <row r="321" spans="3:4">
      <c r="C321" t="s">
        <v>2207</v>
      </c>
      <c r="D321" t="str">
        <f t="shared" si="6"/>
        <v>BW7513892388,</v>
      </c>
    </row>
    <row r="322" spans="3:4">
      <c r="C322" t="s">
        <v>2534</v>
      </c>
      <c r="D322" t="str">
        <f t="shared" si="6"/>
        <v>FS7512031708,</v>
      </c>
    </row>
    <row r="323" spans="3:4">
      <c r="C323" t="s">
        <v>2535</v>
      </c>
      <c r="D323" t="str">
        <f t="shared" si="6"/>
        <v>FS7512158097,</v>
      </c>
    </row>
    <row r="324" spans="3:4">
      <c r="C324" t="s">
        <v>2536</v>
      </c>
      <c r="D324" t="str">
        <f t="shared" si="6"/>
        <v>FS7512183801,</v>
      </c>
    </row>
    <row r="325" spans="3:4">
      <c r="C325" t="s">
        <v>2537</v>
      </c>
      <c r="D325" t="str">
        <f t="shared" si="6"/>
        <v>JG7503726969,</v>
      </c>
    </row>
    <row r="326" spans="3:4">
      <c r="C326" t="s">
        <v>2538</v>
      </c>
      <c r="D326" t="str">
        <f t="shared" si="6"/>
        <v>KI7508846799,</v>
      </c>
    </row>
    <row r="327" spans="3:4">
      <c r="C327" t="s">
        <v>2539</v>
      </c>
      <c r="D327" t="str">
        <f t="shared" si="6"/>
        <v>KI7508864768,</v>
      </c>
    </row>
    <row r="328" spans="3:4">
      <c r="C328" t="s">
        <v>2540</v>
      </c>
      <c r="D328" t="str">
        <f t="shared" si="6"/>
        <v>KI7508891750,</v>
      </c>
    </row>
    <row r="329" spans="3:4">
      <c r="C329" t="s">
        <v>2541</v>
      </c>
      <c r="D329" t="str">
        <f t="shared" si="6"/>
        <v>KI7508898355,</v>
      </c>
    </row>
    <row r="330" spans="3:4">
      <c r="C330" t="s">
        <v>2542</v>
      </c>
      <c r="D330" t="str">
        <f t="shared" si="6"/>
        <v>KI9012052954,</v>
      </c>
    </row>
    <row r="331" spans="3:4">
      <c r="C331" t="s">
        <v>2543</v>
      </c>
      <c r="D331" t="str">
        <f t="shared" si="6"/>
        <v>KI9012067711,</v>
      </c>
    </row>
    <row r="332" spans="3:4">
      <c r="C332" t="s">
        <v>2544</v>
      </c>
      <c r="D332" t="str">
        <f t="shared" si="6"/>
        <v>KI9012073333,</v>
      </c>
    </row>
    <row r="333" spans="3:4">
      <c r="C333" t="s">
        <v>2545</v>
      </c>
      <c r="D333" t="str">
        <f t="shared" si="6"/>
        <v>LE7510135773,</v>
      </c>
    </row>
    <row r="334" spans="3:4">
      <c r="C334" t="s">
        <v>2546</v>
      </c>
      <c r="D334" t="str">
        <f t="shared" si="6"/>
        <v>LE9012059191,</v>
      </c>
    </row>
    <row r="335" spans="3:4">
      <c r="C335" t="s">
        <v>2129</v>
      </c>
      <c r="D335" t="str">
        <f t="shared" si="6"/>
        <v>FS7512116634,</v>
      </c>
    </row>
    <row r="336" spans="3:4">
      <c r="C336" t="s">
        <v>1992</v>
      </c>
      <c r="D336" t="str">
        <f t="shared" si="6"/>
        <v>FS7512118966,</v>
      </c>
    </row>
    <row r="337" spans="3:4">
      <c r="C337" t="s">
        <v>2090</v>
      </c>
      <c r="D337" t="str">
        <f t="shared" si="6"/>
        <v>FS7512157728,</v>
      </c>
    </row>
    <row r="338" spans="3:4">
      <c r="C338" t="s">
        <v>2137</v>
      </c>
      <c r="D338" t="str">
        <f t="shared" si="6"/>
        <v>FS7512158170,</v>
      </c>
    </row>
    <row r="339" spans="3:4">
      <c r="C339" t="s">
        <v>2547</v>
      </c>
      <c r="D339" t="str">
        <f t="shared" si="6"/>
        <v>FS7512378379,</v>
      </c>
    </row>
    <row r="340" spans="3:4">
      <c r="C340" t="s">
        <v>2144</v>
      </c>
      <c r="D340" t="str">
        <f t="shared" si="6"/>
        <v>ID7512534992,</v>
      </c>
    </row>
    <row r="341" spans="3:4">
      <c r="C341" t="s">
        <v>1943</v>
      </c>
      <c r="D341" t="str">
        <f t="shared" si="6"/>
        <v>ID7512535769,</v>
      </c>
    </row>
    <row r="342" spans="3:4">
      <c r="C342" t="s">
        <v>2166</v>
      </c>
      <c r="D342" t="str">
        <f t="shared" si="6"/>
        <v>ID9011566134,</v>
      </c>
    </row>
    <row r="343" spans="3:4">
      <c r="C343" t="s">
        <v>2190</v>
      </c>
      <c r="D343" t="str">
        <f t="shared" si="6"/>
        <v>JD7504340920,</v>
      </c>
    </row>
    <row r="344" spans="3:4">
      <c r="C344" t="s">
        <v>2000</v>
      </c>
      <c r="D344" t="str">
        <f t="shared" si="6"/>
        <v>JM7514162904,</v>
      </c>
    </row>
    <row r="345" spans="3:4">
      <c r="C345" t="s">
        <v>1919</v>
      </c>
      <c r="D345" t="str">
        <f t="shared" si="6"/>
        <v>KI7500305490,</v>
      </c>
    </row>
    <row r="346" spans="3:4">
      <c r="C346" t="s">
        <v>2058</v>
      </c>
      <c r="D346" t="str">
        <f t="shared" si="6"/>
        <v>KI7508750996,</v>
      </c>
    </row>
    <row r="347" spans="3:4">
      <c r="C347" t="s">
        <v>2548</v>
      </c>
      <c r="D347" t="str">
        <f t="shared" si="6"/>
        <v>KI7500326693,</v>
      </c>
    </row>
    <row r="348" spans="3:4">
      <c r="C348" t="s">
        <v>2549</v>
      </c>
      <c r="D348" t="str">
        <f t="shared" si="6"/>
        <v>KI7508943640,</v>
      </c>
    </row>
    <row r="349" spans="3:4">
      <c r="C349" t="s">
        <v>1916</v>
      </c>
      <c r="D349" t="str">
        <f t="shared" si="6"/>
        <v>KI9012028287,</v>
      </c>
    </row>
    <row r="350" spans="3:4">
      <c r="C350" t="s">
        <v>1967</v>
      </c>
      <c r="D350" t="str">
        <f t="shared" si="6"/>
        <v>KI9012030552,</v>
      </c>
    </row>
    <row r="351" spans="3:4">
      <c r="C351" t="s">
        <v>1947</v>
      </c>
      <c r="D351" t="str">
        <f t="shared" ref="D351:D414" si="7">""&amp;C351&amp;","</f>
        <v>KI9012030592,</v>
      </c>
    </row>
    <row r="352" spans="3:4">
      <c r="C352" t="s">
        <v>2550</v>
      </c>
      <c r="D352" t="str">
        <f t="shared" si="7"/>
        <v>KI9012039237,</v>
      </c>
    </row>
    <row r="353" spans="3:4">
      <c r="C353" t="s">
        <v>1915</v>
      </c>
      <c r="D353" t="str">
        <f t="shared" si="7"/>
        <v>KI9012041824,</v>
      </c>
    </row>
    <row r="354" spans="3:4">
      <c r="C354" t="s">
        <v>2039</v>
      </c>
      <c r="D354" t="str">
        <f t="shared" si="7"/>
        <v>KS7514341974,</v>
      </c>
    </row>
    <row r="355" spans="3:4">
      <c r="C355" t="s">
        <v>2551</v>
      </c>
      <c r="D355" t="str">
        <f t="shared" si="7"/>
        <v>LE7508530181,</v>
      </c>
    </row>
    <row r="356" spans="3:4">
      <c r="C356" t="s">
        <v>2552</v>
      </c>
      <c r="D356" t="str">
        <f t="shared" si="7"/>
        <v>LE9012041157,</v>
      </c>
    </row>
    <row r="357" spans="3:4">
      <c r="C357" t="s">
        <v>2021</v>
      </c>
      <c r="D357" t="str">
        <f t="shared" si="7"/>
        <v>SA7507888272,</v>
      </c>
    </row>
    <row r="358" spans="3:4">
      <c r="C358" t="s">
        <v>2037</v>
      </c>
      <c r="D358" t="str">
        <f t="shared" si="7"/>
        <v>SD7507949082,</v>
      </c>
    </row>
    <row r="359" spans="3:4">
      <c r="C359" t="s">
        <v>2553</v>
      </c>
      <c r="D359" t="str">
        <f t="shared" si="7"/>
        <v>SH7513675811,</v>
      </c>
    </row>
    <row r="360" spans="3:4">
      <c r="C360" t="s">
        <v>1945</v>
      </c>
      <c r="D360" t="str">
        <f t="shared" si="7"/>
        <v>VR7503501101,</v>
      </c>
    </row>
    <row r="361" spans="3:4">
      <c r="C361" t="s">
        <v>2554</v>
      </c>
      <c r="D361" t="str">
        <f t="shared" si="7"/>
        <v>VR9012050900,</v>
      </c>
    </row>
    <row r="362" spans="3:4">
      <c r="C362" t="s">
        <v>2555</v>
      </c>
      <c r="D362" t="str">
        <f t="shared" si="7"/>
        <v>CH9011812628,</v>
      </c>
    </row>
    <row r="363" spans="3:4">
      <c r="C363" t="s">
        <v>2556</v>
      </c>
      <c r="D363" t="str">
        <f t="shared" si="7"/>
        <v>FS7512142715,</v>
      </c>
    </row>
    <row r="364" spans="3:4">
      <c r="C364" t="s">
        <v>2557</v>
      </c>
      <c r="D364" t="str">
        <f t="shared" si="7"/>
        <v>FS7512145287,</v>
      </c>
    </row>
    <row r="365" spans="3:4">
      <c r="C365" t="s">
        <v>2558</v>
      </c>
      <c r="D365" t="str">
        <f t="shared" si="7"/>
        <v>FS7512159291,</v>
      </c>
    </row>
    <row r="366" spans="3:4">
      <c r="C366" t="s">
        <v>2559</v>
      </c>
      <c r="D366" t="str">
        <f t="shared" si="7"/>
        <v>FS7512167828,</v>
      </c>
    </row>
    <row r="367" spans="3:4">
      <c r="C367" t="s">
        <v>2560</v>
      </c>
      <c r="D367" t="str">
        <f t="shared" si="7"/>
        <v>FS7512172267,</v>
      </c>
    </row>
    <row r="368" spans="3:4">
      <c r="C368" t="s">
        <v>1907</v>
      </c>
      <c r="D368" t="str">
        <f t="shared" si="7"/>
        <v>FS7512381732,</v>
      </c>
    </row>
    <row r="369" spans="3:4">
      <c r="C369" t="s">
        <v>2561</v>
      </c>
      <c r="D369" t="str">
        <f t="shared" si="7"/>
        <v>FS7512385648,</v>
      </c>
    </row>
    <row r="370" spans="3:4">
      <c r="C370" t="s">
        <v>2562</v>
      </c>
      <c r="D370" t="str">
        <f t="shared" si="7"/>
        <v>FS9012051930,</v>
      </c>
    </row>
    <row r="371" spans="3:4">
      <c r="C371" t="s">
        <v>2563</v>
      </c>
      <c r="D371" t="str">
        <f t="shared" si="7"/>
        <v>ID7512546140,</v>
      </c>
    </row>
    <row r="372" spans="3:4">
      <c r="C372" t="s">
        <v>2564</v>
      </c>
      <c r="D372" t="str">
        <f t="shared" si="7"/>
        <v>KI0065306464,</v>
      </c>
    </row>
    <row r="373" spans="3:4">
      <c r="C373" t="s">
        <v>2565</v>
      </c>
      <c r="D373" t="str">
        <f t="shared" si="7"/>
        <v>KI7500313080,</v>
      </c>
    </row>
    <row r="374" spans="3:4">
      <c r="C374" t="s">
        <v>2566</v>
      </c>
      <c r="D374" t="str">
        <f t="shared" si="7"/>
        <v>KI7508838814,</v>
      </c>
    </row>
    <row r="375" spans="3:4">
      <c r="C375" t="s">
        <v>2567</v>
      </c>
      <c r="D375" t="str">
        <f t="shared" si="7"/>
        <v>KI7508848817,</v>
      </c>
    </row>
    <row r="376" spans="3:4">
      <c r="C376" t="s">
        <v>2132</v>
      </c>
      <c r="D376" t="str">
        <f t="shared" si="7"/>
        <v>KI7508882528,</v>
      </c>
    </row>
    <row r="377" spans="3:4">
      <c r="C377" t="s">
        <v>2205</v>
      </c>
      <c r="D377" t="str">
        <f t="shared" si="7"/>
        <v>KI7508890807,</v>
      </c>
    </row>
    <row r="378" spans="3:4">
      <c r="C378" t="s">
        <v>2063</v>
      </c>
      <c r="D378" t="str">
        <f t="shared" si="7"/>
        <v>KI9012023173,</v>
      </c>
    </row>
    <row r="379" spans="3:4">
      <c r="C379" t="s">
        <v>2055</v>
      </c>
      <c r="D379" t="str">
        <f t="shared" si="7"/>
        <v>KI9012025499,</v>
      </c>
    </row>
    <row r="380" spans="3:4">
      <c r="C380" t="s">
        <v>1913</v>
      </c>
      <c r="D380" t="str">
        <f t="shared" si="7"/>
        <v>KI9012028146,</v>
      </c>
    </row>
    <row r="381" spans="3:4">
      <c r="C381" t="s">
        <v>2568</v>
      </c>
      <c r="D381" t="str">
        <f t="shared" si="7"/>
        <v>KI9012029988,</v>
      </c>
    </row>
    <row r="382" spans="3:4">
      <c r="C382" t="s">
        <v>2569</v>
      </c>
      <c r="D382" t="str">
        <f t="shared" si="7"/>
        <v>KI9012030182,</v>
      </c>
    </row>
    <row r="383" spans="3:4">
      <c r="C383" t="s">
        <v>2172</v>
      </c>
      <c r="D383" t="str">
        <f t="shared" si="7"/>
        <v>KI9012032247,</v>
      </c>
    </row>
    <row r="384" spans="3:4">
      <c r="C384" t="s">
        <v>1905</v>
      </c>
      <c r="D384" t="str">
        <f t="shared" si="7"/>
        <v>LE9012007823,</v>
      </c>
    </row>
    <row r="385" spans="3:4">
      <c r="C385" t="s">
        <v>2570</v>
      </c>
      <c r="D385" t="str">
        <f t="shared" si="7"/>
        <v>MX9012075971,</v>
      </c>
    </row>
    <row r="386" spans="3:4">
      <c r="C386" t="s">
        <v>1424</v>
      </c>
      <c r="D386" t="str">
        <f t="shared" si="7"/>
        <v>PW7513550853,</v>
      </c>
    </row>
    <row r="387" spans="3:4">
      <c r="C387" t="s">
        <v>2571</v>
      </c>
      <c r="D387" t="str">
        <f t="shared" si="7"/>
        <v>RN9012044367,</v>
      </c>
    </row>
    <row r="388" spans="3:4">
      <c r="C388" t="s">
        <v>2572</v>
      </c>
      <c r="D388" t="str">
        <f t="shared" si="7"/>
        <v>RN9012065051,</v>
      </c>
    </row>
    <row r="389" spans="3:4">
      <c r="C389" t="s">
        <v>2069</v>
      </c>
      <c r="D389" t="str">
        <f t="shared" si="7"/>
        <v>KI9012020985,</v>
      </c>
    </row>
    <row r="390" spans="3:4">
      <c r="C390" t="s">
        <v>2003</v>
      </c>
      <c r="D390" t="str">
        <f t="shared" si="7"/>
        <v>KI9012031747,</v>
      </c>
    </row>
    <row r="391" spans="3:4">
      <c r="C391" t="s">
        <v>1954</v>
      </c>
      <c r="D391" t="str">
        <f t="shared" si="7"/>
        <v>KI9012033807,</v>
      </c>
    </row>
    <row r="392" spans="3:4">
      <c r="C392" t="s">
        <v>1925</v>
      </c>
      <c r="D392" t="str">
        <f t="shared" si="7"/>
        <v>KI9012039268,</v>
      </c>
    </row>
    <row r="393" spans="3:4">
      <c r="C393" t="s">
        <v>2573</v>
      </c>
      <c r="D393" t="str">
        <f t="shared" si="7"/>
        <v>KI9012041867,</v>
      </c>
    </row>
    <row r="394" spans="3:4">
      <c r="C394" t="s">
        <v>2141</v>
      </c>
      <c r="D394" t="str">
        <f t="shared" si="7"/>
        <v>KI9012047206,</v>
      </c>
    </row>
    <row r="395" spans="3:4">
      <c r="C395" t="s">
        <v>2157</v>
      </c>
      <c r="D395" t="str">
        <f t="shared" si="7"/>
        <v>KI9012049827,</v>
      </c>
    </row>
    <row r="396" spans="3:4">
      <c r="C396" t="s">
        <v>2574</v>
      </c>
      <c r="D396" t="str">
        <f t="shared" si="7"/>
        <v>KI9012052454,</v>
      </c>
    </row>
    <row r="397" spans="3:4">
      <c r="C397" t="s">
        <v>2178</v>
      </c>
      <c r="D397" t="str">
        <f t="shared" si="7"/>
        <v>KI9012055027,</v>
      </c>
    </row>
    <row r="398" spans="3:4">
      <c r="C398" t="s">
        <v>2575</v>
      </c>
      <c r="D398" t="str">
        <f t="shared" si="7"/>
        <v>KI9012055298,</v>
      </c>
    </row>
    <row r="399" spans="3:4">
      <c r="C399" t="s">
        <v>2576</v>
      </c>
      <c r="D399" t="str">
        <f t="shared" si="7"/>
        <v>KI9012057489,</v>
      </c>
    </row>
    <row r="400" spans="3:4">
      <c r="C400" t="s">
        <v>1924</v>
      </c>
      <c r="D400" t="str">
        <f t="shared" si="7"/>
        <v>LE0060781445,</v>
      </c>
    </row>
    <row r="401" spans="3:4">
      <c r="C401" t="s">
        <v>2577</v>
      </c>
      <c r="D401" t="str">
        <f t="shared" si="7"/>
        <v>LE7501239397,</v>
      </c>
    </row>
    <row r="402" spans="3:4">
      <c r="C402" t="s">
        <v>2142</v>
      </c>
      <c r="D402" t="str">
        <f t="shared" si="7"/>
        <v>LE7508493969,</v>
      </c>
    </row>
    <row r="403" spans="3:4">
      <c r="C403" t="s">
        <v>1979</v>
      </c>
      <c r="D403" t="str">
        <f t="shared" si="7"/>
        <v>LE7508500198,</v>
      </c>
    </row>
    <row r="404" spans="3:4">
      <c r="C404" t="s">
        <v>2578</v>
      </c>
      <c r="D404" t="str">
        <f t="shared" si="7"/>
        <v>LE7508524747,</v>
      </c>
    </row>
    <row r="405" spans="3:4">
      <c r="C405" t="s">
        <v>2118</v>
      </c>
      <c r="D405" t="str">
        <f t="shared" si="7"/>
        <v>LE7508529410,</v>
      </c>
    </row>
    <row r="406" spans="3:4">
      <c r="C406" t="s">
        <v>2148</v>
      </c>
      <c r="D406" t="str">
        <f t="shared" si="7"/>
        <v>LE7510099811,</v>
      </c>
    </row>
    <row r="407" spans="3:4">
      <c r="C407" t="s">
        <v>2579</v>
      </c>
      <c r="D407" t="str">
        <f t="shared" si="7"/>
        <v>LE7510138961,</v>
      </c>
    </row>
    <row r="408" spans="3:4">
      <c r="C408" t="s">
        <v>2112</v>
      </c>
      <c r="D408" t="str">
        <f t="shared" si="7"/>
        <v>LE7510095684,</v>
      </c>
    </row>
    <row r="409" spans="3:4">
      <c r="C409" t="s">
        <v>2580</v>
      </c>
      <c r="D409" t="str">
        <f t="shared" si="7"/>
        <v>LE7510103891,</v>
      </c>
    </row>
    <row r="410" spans="3:4">
      <c r="C410" t="s">
        <v>2581</v>
      </c>
      <c r="D410" t="str">
        <f t="shared" si="7"/>
        <v>LE7510119491,</v>
      </c>
    </row>
    <row r="411" spans="3:4">
      <c r="C411" t="s">
        <v>2582</v>
      </c>
      <c r="D411" t="str">
        <f t="shared" si="7"/>
        <v>LE7510149913,</v>
      </c>
    </row>
    <row r="412" spans="3:4">
      <c r="C412" t="s">
        <v>2020</v>
      </c>
      <c r="D412" t="str">
        <f t="shared" si="7"/>
        <v>LE9012000139,</v>
      </c>
    </row>
    <row r="413" spans="3:4">
      <c r="C413" t="s">
        <v>1986</v>
      </c>
      <c r="D413" t="str">
        <f t="shared" si="7"/>
        <v>LE9012001227,</v>
      </c>
    </row>
    <row r="414" spans="3:4">
      <c r="C414" t="s">
        <v>1914</v>
      </c>
      <c r="D414" t="str">
        <f t="shared" si="7"/>
        <v>LE9012008499,</v>
      </c>
    </row>
    <row r="415" spans="3:4">
      <c r="C415" t="s">
        <v>1909</v>
      </c>
      <c r="D415" t="str">
        <f t="shared" ref="D415:D478" si="8">""&amp;C415&amp;","</f>
        <v>LE9012008999,</v>
      </c>
    </row>
    <row r="416" spans="3:4">
      <c r="C416" t="s">
        <v>2120</v>
      </c>
      <c r="D416" t="str">
        <f t="shared" si="8"/>
        <v>LE9012010195,</v>
      </c>
    </row>
    <row r="417" spans="3:4">
      <c r="C417" t="s">
        <v>2202</v>
      </c>
      <c r="D417" t="str">
        <f t="shared" si="8"/>
        <v>LE9012013768,</v>
      </c>
    </row>
    <row r="418" spans="3:4">
      <c r="C418" t="s">
        <v>2583</v>
      </c>
      <c r="D418" t="str">
        <f t="shared" si="8"/>
        <v>LE9012015643,</v>
      </c>
    </row>
    <row r="419" spans="3:4">
      <c r="C419" t="s">
        <v>2168</v>
      </c>
      <c r="D419" t="str">
        <f t="shared" si="8"/>
        <v>LE9012018602,</v>
      </c>
    </row>
    <row r="420" spans="3:4">
      <c r="C420" t="s">
        <v>2584</v>
      </c>
      <c r="D420" t="str">
        <f t="shared" si="8"/>
        <v>LE9011033418,</v>
      </c>
    </row>
    <row r="421" spans="3:4">
      <c r="C421" t="s">
        <v>2213</v>
      </c>
      <c r="D421" t="str">
        <f t="shared" si="8"/>
        <v>LE9012021555,</v>
      </c>
    </row>
    <row r="422" spans="3:4">
      <c r="C422" t="s">
        <v>2187</v>
      </c>
      <c r="D422" t="str">
        <f t="shared" si="8"/>
        <v>LE9012024819,</v>
      </c>
    </row>
    <row r="423" spans="3:4">
      <c r="C423" t="s">
        <v>2192</v>
      </c>
      <c r="D423" t="str">
        <f t="shared" si="8"/>
        <v>LE9012026811,</v>
      </c>
    </row>
    <row r="424" spans="3:4">
      <c r="C424" t="s">
        <v>2122</v>
      </c>
      <c r="D424" t="str">
        <f t="shared" si="8"/>
        <v>LE9012028728,</v>
      </c>
    </row>
    <row r="425" spans="3:4">
      <c r="C425" t="s">
        <v>2211</v>
      </c>
      <c r="D425" t="str">
        <f t="shared" si="8"/>
        <v>LE9012028730,</v>
      </c>
    </row>
    <row r="426" spans="3:4">
      <c r="C426" t="s">
        <v>2585</v>
      </c>
      <c r="D426" t="str">
        <f t="shared" si="8"/>
        <v>LE9012030842,</v>
      </c>
    </row>
    <row r="427" spans="3:4">
      <c r="C427" t="s">
        <v>2586</v>
      </c>
      <c r="D427" t="str">
        <f t="shared" si="8"/>
        <v>LE9012031019,</v>
      </c>
    </row>
    <row r="428" spans="3:4">
      <c r="C428" t="s">
        <v>2171</v>
      </c>
      <c r="D428" t="str">
        <f t="shared" si="8"/>
        <v>LE9012033189,</v>
      </c>
    </row>
    <row r="429" spans="3:4">
      <c r="C429" t="s">
        <v>2220</v>
      </c>
      <c r="D429" t="str">
        <f t="shared" si="8"/>
        <v>LE9012044465,</v>
      </c>
    </row>
    <row r="430" spans="3:4">
      <c r="C430" t="s">
        <v>2175</v>
      </c>
      <c r="D430" t="str">
        <f t="shared" si="8"/>
        <v>LE9012044700,</v>
      </c>
    </row>
    <row r="431" spans="3:4">
      <c r="C431" t="s">
        <v>2182</v>
      </c>
      <c r="D431" t="str">
        <f t="shared" si="8"/>
        <v>LE9012045534,</v>
      </c>
    </row>
    <row r="432" spans="3:4">
      <c r="C432" t="s">
        <v>2158</v>
      </c>
      <c r="D432" t="str">
        <f t="shared" si="8"/>
        <v>LE9012046806,</v>
      </c>
    </row>
    <row r="433" spans="3:4">
      <c r="C433" t="s">
        <v>2223</v>
      </c>
      <c r="D433" t="str">
        <f t="shared" si="8"/>
        <v>LE9012049005,</v>
      </c>
    </row>
    <row r="434" spans="3:4">
      <c r="C434" t="s">
        <v>2587</v>
      </c>
      <c r="D434" t="str">
        <f t="shared" si="8"/>
        <v>LE9012163477,</v>
      </c>
    </row>
    <row r="435" spans="3:4">
      <c r="C435" t="s">
        <v>1830</v>
      </c>
      <c r="D435" t="str">
        <f t="shared" si="8"/>
        <v>LE9012199236,</v>
      </c>
    </row>
    <row r="436" spans="3:4">
      <c r="C436" t="s">
        <v>2047</v>
      </c>
      <c r="D436" t="str">
        <f t="shared" si="8"/>
        <v>MG7507560862,</v>
      </c>
    </row>
    <row r="437" spans="3:4">
      <c r="C437" t="s">
        <v>2197</v>
      </c>
      <c r="D437" t="str">
        <f t="shared" si="8"/>
        <v>MM9011815213,</v>
      </c>
    </row>
    <row r="438" spans="3:4">
      <c r="C438" t="s">
        <v>2588</v>
      </c>
      <c r="D438" t="str">
        <f t="shared" si="8"/>
        <v>MX9012038494,</v>
      </c>
    </row>
    <row r="439" spans="3:4">
      <c r="C439" t="s">
        <v>2034</v>
      </c>
      <c r="D439" t="str">
        <f t="shared" si="8"/>
        <v>PW7513553341,</v>
      </c>
    </row>
    <row r="440" spans="3:4">
      <c r="C440" t="s">
        <v>2221</v>
      </c>
      <c r="D440" t="str">
        <f t="shared" si="8"/>
        <v>PW7513559300,</v>
      </c>
    </row>
    <row r="441" spans="3:4">
      <c r="C441" t="s">
        <v>2151</v>
      </c>
      <c r="D441" t="str">
        <f t="shared" si="8"/>
        <v>PW7513559325,</v>
      </c>
    </row>
    <row r="442" spans="3:4">
      <c r="C442" t="s">
        <v>1899</v>
      </c>
      <c r="D442" t="str">
        <f t="shared" si="8"/>
        <v>PW9012003870,</v>
      </c>
    </row>
    <row r="443" spans="3:4">
      <c r="C443" t="s">
        <v>2181</v>
      </c>
      <c r="D443" t="str">
        <f t="shared" si="8"/>
        <v>RN9012066618,</v>
      </c>
    </row>
    <row r="444" spans="3:4">
      <c r="C444" t="s">
        <v>2133</v>
      </c>
      <c r="D444" t="str">
        <f t="shared" si="8"/>
        <v>SA7514149895,</v>
      </c>
    </row>
    <row r="445" spans="3:4">
      <c r="C445" t="s">
        <v>2227</v>
      </c>
      <c r="D445" t="str">
        <f t="shared" si="8"/>
        <v>SJ9011924468,</v>
      </c>
    </row>
    <row r="446" spans="3:4">
      <c r="C446" t="s">
        <v>2589</v>
      </c>
      <c r="D446" t="str">
        <f t="shared" si="8"/>
        <v>SP7514184801,</v>
      </c>
    </row>
    <row r="447" spans="3:4">
      <c r="C447" t="s">
        <v>2590</v>
      </c>
      <c r="D447" t="str">
        <f t="shared" si="8"/>
        <v>AM7513838827,</v>
      </c>
    </row>
    <row r="448" spans="3:4">
      <c r="C448" t="s">
        <v>2591</v>
      </c>
      <c r="D448" t="str">
        <f t="shared" si="8"/>
        <v>BL7507541930,</v>
      </c>
    </row>
    <row r="449" spans="3:4">
      <c r="C449" t="s">
        <v>2592</v>
      </c>
      <c r="D449" t="str">
        <f t="shared" si="8"/>
        <v>CC0060932829,</v>
      </c>
    </row>
    <row r="450" spans="3:4">
      <c r="C450" t="s">
        <v>2593</v>
      </c>
      <c r="D450" t="str">
        <f t="shared" si="8"/>
        <v>FS0060921152,</v>
      </c>
    </row>
    <row r="451" spans="3:4">
      <c r="C451" t="s">
        <v>2594</v>
      </c>
      <c r="D451" t="str">
        <f t="shared" si="8"/>
        <v>LE0060779523,</v>
      </c>
    </row>
    <row r="452" spans="3:4">
      <c r="C452" t="s">
        <v>2595</v>
      </c>
      <c r="D452" t="str">
        <f t="shared" si="8"/>
        <v>LE7508385953,</v>
      </c>
    </row>
    <row r="453" spans="3:4">
      <c r="C453" t="s">
        <v>2596</v>
      </c>
      <c r="D453" t="str">
        <f t="shared" si="8"/>
        <v>LE7508441725,</v>
      </c>
    </row>
    <row r="454" spans="3:4">
      <c r="C454" t="s">
        <v>2597</v>
      </c>
      <c r="D454" t="str">
        <f t="shared" si="8"/>
        <v>MN7513086859,</v>
      </c>
    </row>
    <row r="455" spans="3:4">
      <c r="C455" t="s">
        <v>2598</v>
      </c>
      <c r="D455" t="str">
        <f t="shared" si="8"/>
        <v>MN7513089064,</v>
      </c>
    </row>
    <row r="456" spans="3:4">
      <c r="C456" t="s">
        <v>2599</v>
      </c>
      <c r="D456" t="str">
        <f t="shared" si="8"/>
        <v>SA7514147613,</v>
      </c>
    </row>
    <row r="457" spans="3:4">
      <c r="C457" t="s">
        <v>2600</v>
      </c>
      <c r="D457" t="str">
        <f t="shared" si="8"/>
        <v>SA7514148510,</v>
      </c>
    </row>
    <row r="458" spans="3:4">
      <c r="C458" t="s">
        <v>2601</v>
      </c>
      <c r="D458" t="str">
        <f t="shared" si="8"/>
        <v>BA7507939727,</v>
      </c>
    </row>
    <row r="459" spans="3:4">
      <c r="C459" t="s">
        <v>2602</v>
      </c>
      <c r="D459" t="str">
        <f t="shared" si="8"/>
        <v>FS7512091617,</v>
      </c>
    </row>
    <row r="460" spans="3:4">
      <c r="C460" t="s">
        <v>2603</v>
      </c>
      <c r="D460" t="str">
        <f t="shared" si="8"/>
        <v>FS7512123651,</v>
      </c>
    </row>
    <row r="461" spans="3:4">
      <c r="C461" t="s">
        <v>2604</v>
      </c>
      <c r="D461" t="str">
        <f t="shared" si="8"/>
        <v>FS7512128399,</v>
      </c>
    </row>
    <row r="462" spans="3:4">
      <c r="C462" t="s">
        <v>2605</v>
      </c>
      <c r="D462" t="str">
        <f t="shared" si="8"/>
        <v>FS7512130914,</v>
      </c>
    </row>
    <row r="463" spans="3:4">
      <c r="C463" t="s">
        <v>2606</v>
      </c>
      <c r="D463" t="str">
        <f t="shared" si="8"/>
        <v>KI7508626103,</v>
      </c>
    </row>
    <row r="464" spans="3:4">
      <c r="C464" t="s">
        <v>2607</v>
      </c>
      <c r="D464" t="str">
        <f t="shared" si="8"/>
        <v>KI7508666536,</v>
      </c>
    </row>
    <row r="465" spans="3:4">
      <c r="C465" t="s">
        <v>2608</v>
      </c>
      <c r="D465" t="str">
        <f t="shared" si="8"/>
        <v>LE0060895292,</v>
      </c>
    </row>
    <row r="466" spans="3:4">
      <c r="C466" t="s">
        <v>2609</v>
      </c>
      <c r="D466" t="str">
        <f t="shared" si="8"/>
        <v>RN7514616694,</v>
      </c>
    </row>
    <row r="467" spans="3:4">
      <c r="C467" t="s">
        <v>2610</v>
      </c>
      <c r="D467" t="str">
        <f t="shared" si="8"/>
        <v>KI7508875489,</v>
      </c>
    </row>
    <row r="468" spans="3:4">
      <c r="C468" t="s">
        <v>2611</v>
      </c>
      <c r="D468" t="str">
        <f t="shared" si="8"/>
        <v>SA7514141667,</v>
      </c>
    </row>
    <row r="469" spans="3:4">
      <c r="C469" t="s">
        <v>2612</v>
      </c>
      <c r="D469" t="str">
        <f t="shared" si="8"/>
        <v>KI7500315985,</v>
      </c>
    </row>
    <row r="470" spans="3:4">
      <c r="C470" t="s">
        <v>2613</v>
      </c>
      <c r="D470" t="str">
        <f t="shared" si="8"/>
        <v>KI7508722867,</v>
      </c>
    </row>
    <row r="471" spans="3:4">
      <c r="C471" t="s">
        <v>2614</v>
      </c>
      <c r="D471" t="str">
        <f t="shared" si="8"/>
        <v>KI7508789185,</v>
      </c>
    </row>
    <row r="472" spans="3:4">
      <c r="C472" t="s">
        <v>2615</v>
      </c>
      <c r="D472" t="str">
        <f t="shared" si="8"/>
        <v>KI7508815724,</v>
      </c>
    </row>
    <row r="473" spans="3:4">
      <c r="C473" t="s">
        <v>2616</v>
      </c>
      <c r="D473" t="str">
        <f t="shared" si="8"/>
        <v>LE7508374241,</v>
      </c>
    </row>
    <row r="474" spans="3:4">
      <c r="C474" t="s">
        <v>2617</v>
      </c>
      <c r="D474" t="str">
        <f t="shared" si="8"/>
        <v>MX7512754596,</v>
      </c>
    </row>
    <row r="475" spans="3:4">
      <c r="C475" t="s">
        <v>2618</v>
      </c>
      <c r="D475" t="str">
        <f t="shared" si="8"/>
        <v>PW7513556004,</v>
      </c>
    </row>
    <row r="476" spans="3:4">
      <c r="C476" t="s">
        <v>2619</v>
      </c>
      <c r="D476" t="str">
        <f t="shared" si="8"/>
        <v>SQ7503445996,</v>
      </c>
    </row>
    <row r="477" spans="3:4">
      <c r="C477" t="s">
        <v>2620</v>
      </c>
      <c r="D477" t="str">
        <f t="shared" si="8"/>
        <v>KI0069913233,</v>
      </c>
    </row>
    <row r="478" spans="3:4">
      <c r="C478" t="s">
        <v>2621</v>
      </c>
      <c r="D478" t="str">
        <f t="shared" si="8"/>
        <v>LE7508482664,</v>
      </c>
    </row>
    <row r="479" spans="3:4">
      <c r="C479" t="s">
        <v>2622</v>
      </c>
      <c r="D479" t="str">
        <f t="shared" ref="D479:D542" si="9">""&amp;C479&amp;","</f>
        <v>FS7512085912,</v>
      </c>
    </row>
    <row r="480" spans="3:4">
      <c r="C480" t="s">
        <v>2623</v>
      </c>
      <c r="D480" t="str">
        <f t="shared" si="9"/>
        <v>FS7512102257,</v>
      </c>
    </row>
    <row r="481" spans="3:4">
      <c r="C481" t="s">
        <v>2624</v>
      </c>
      <c r="D481" t="str">
        <f t="shared" si="9"/>
        <v>KI7508726556,</v>
      </c>
    </row>
    <row r="482" spans="3:4">
      <c r="C482" t="s">
        <v>2625</v>
      </c>
      <c r="D482" t="str">
        <f t="shared" si="9"/>
        <v>KI7508734459,</v>
      </c>
    </row>
    <row r="483" spans="3:4">
      <c r="C483" t="s">
        <v>2626</v>
      </c>
      <c r="D483" t="str">
        <f t="shared" si="9"/>
        <v>LE0060896262,</v>
      </c>
    </row>
    <row r="484" spans="3:4">
      <c r="C484" t="s">
        <v>2627</v>
      </c>
      <c r="D484" t="str">
        <f t="shared" si="9"/>
        <v>LE7508472719,</v>
      </c>
    </row>
    <row r="485" spans="3:4">
      <c r="C485" t="s">
        <v>2628</v>
      </c>
      <c r="D485" t="str">
        <f t="shared" si="9"/>
        <v>LE7508492284,</v>
      </c>
    </row>
    <row r="486" spans="3:4">
      <c r="C486" t="s">
        <v>2629</v>
      </c>
      <c r="D486" t="str">
        <f t="shared" si="9"/>
        <v>LE9012018733,</v>
      </c>
    </row>
    <row r="487" spans="3:4">
      <c r="C487" t="s">
        <v>2630</v>
      </c>
      <c r="D487" t="str">
        <f t="shared" si="9"/>
        <v>MX7512747377,</v>
      </c>
    </row>
    <row r="488" spans="3:4">
      <c r="C488" t="s">
        <v>2631</v>
      </c>
      <c r="D488" t="str">
        <f t="shared" si="9"/>
        <v>SA7514143189,</v>
      </c>
    </row>
    <row r="489" spans="3:4">
      <c r="C489" t="s">
        <v>2632</v>
      </c>
      <c r="D489" t="str">
        <f t="shared" si="9"/>
        <v>FS7512085956,</v>
      </c>
    </row>
    <row r="490" spans="3:4">
      <c r="C490" t="s">
        <v>2633</v>
      </c>
      <c r="D490" t="str">
        <f t="shared" si="9"/>
        <v>FS7512115972,</v>
      </c>
    </row>
    <row r="491" spans="3:4">
      <c r="C491" t="s">
        <v>2634</v>
      </c>
      <c r="D491" t="str">
        <f t="shared" si="9"/>
        <v>FS7512119814,</v>
      </c>
    </row>
    <row r="492" spans="3:4">
      <c r="C492" t="s">
        <v>2635</v>
      </c>
      <c r="D492" t="str">
        <f t="shared" si="9"/>
        <v>FS7512123913,</v>
      </c>
    </row>
    <row r="493" spans="3:4">
      <c r="C493" t="s">
        <v>2636</v>
      </c>
      <c r="D493" t="str">
        <f t="shared" si="9"/>
        <v>ID7501542778,</v>
      </c>
    </row>
    <row r="494" spans="3:4">
      <c r="C494" t="s">
        <v>2637</v>
      </c>
      <c r="D494" t="str">
        <f t="shared" si="9"/>
        <v>ID7512530372,</v>
      </c>
    </row>
    <row r="495" spans="3:4">
      <c r="C495" t="s">
        <v>2638</v>
      </c>
      <c r="D495" t="str">
        <f t="shared" si="9"/>
        <v>LE7508448432,</v>
      </c>
    </row>
    <row r="496" spans="3:4">
      <c r="C496" t="s">
        <v>2639</v>
      </c>
      <c r="D496" t="str">
        <f t="shared" si="9"/>
        <v>LE7508463285,</v>
      </c>
    </row>
    <row r="497" spans="3:4">
      <c r="C497" t="s">
        <v>2640</v>
      </c>
      <c r="D497" t="str">
        <f t="shared" si="9"/>
        <v>LE7508500895,</v>
      </c>
    </row>
    <row r="498" spans="3:4">
      <c r="C498" t="s">
        <v>2641</v>
      </c>
      <c r="D498" t="str">
        <f t="shared" si="9"/>
        <v>LE7508533789,</v>
      </c>
    </row>
    <row r="499" spans="3:4">
      <c r="C499" t="s">
        <v>2642</v>
      </c>
      <c r="D499" t="str">
        <f t="shared" si="9"/>
        <v>MG7507560373,</v>
      </c>
    </row>
    <row r="500" spans="3:4">
      <c r="C500" t="s">
        <v>2643</v>
      </c>
      <c r="D500" t="str">
        <f t="shared" si="9"/>
        <v>PW7513554181,</v>
      </c>
    </row>
    <row r="501" spans="3:4">
      <c r="C501" t="s">
        <v>2644</v>
      </c>
      <c r="D501" t="str">
        <f t="shared" si="9"/>
        <v>BA7507939820,</v>
      </c>
    </row>
    <row r="502" spans="3:4">
      <c r="C502" t="s">
        <v>2645</v>
      </c>
      <c r="D502" t="str">
        <f t="shared" si="9"/>
        <v>FS7512118710,</v>
      </c>
    </row>
    <row r="503" spans="3:4">
      <c r="C503" t="s">
        <v>2646</v>
      </c>
      <c r="D503" t="str">
        <f t="shared" si="9"/>
        <v>FS7512118849,</v>
      </c>
    </row>
    <row r="504" spans="3:4">
      <c r="C504" t="s">
        <v>2647</v>
      </c>
      <c r="D504" t="str">
        <f t="shared" si="9"/>
        <v>KI7508723834,</v>
      </c>
    </row>
    <row r="505" spans="3:4">
      <c r="C505" t="s">
        <v>2648</v>
      </c>
      <c r="D505" t="str">
        <f t="shared" si="9"/>
        <v>KI9012178886,</v>
      </c>
    </row>
    <row r="506" spans="3:4">
      <c r="C506" t="s">
        <v>2649</v>
      </c>
      <c r="D506" t="str">
        <f t="shared" si="9"/>
        <v>LE7508455262,</v>
      </c>
    </row>
    <row r="507" spans="3:4">
      <c r="C507" t="s">
        <v>2650</v>
      </c>
      <c r="D507" t="str">
        <f t="shared" si="9"/>
        <v>LE7508521119,</v>
      </c>
    </row>
    <row r="508" spans="3:4">
      <c r="C508" t="s">
        <v>2651</v>
      </c>
      <c r="D508" t="str">
        <f t="shared" si="9"/>
        <v>LE7510098775,</v>
      </c>
    </row>
    <row r="509" spans="3:4">
      <c r="C509" t="s">
        <v>2652</v>
      </c>
      <c r="D509" t="str">
        <f t="shared" si="9"/>
        <v>AM7513837512,</v>
      </c>
    </row>
    <row r="510" spans="3:4">
      <c r="C510" t="s">
        <v>2653</v>
      </c>
      <c r="D510" t="str">
        <f t="shared" si="9"/>
        <v>KI7500694086,</v>
      </c>
    </row>
    <row r="511" spans="3:4">
      <c r="C511" t="s">
        <v>2654</v>
      </c>
      <c r="D511" t="str">
        <f t="shared" si="9"/>
        <v>KI7508620546,</v>
      </c>
    </row>
    <row r="512" spans="3:4">
      <c r="C512" t="s">
        <v>2655</v>
      </c>
      <c r="D512" t="str">
        <f t="shared" si="9"/>
        <v>PW7513546959,</v>
      </c>
    </row>
    <row r="513" spans="3:4">
      <c r="C513" t="s">
        <v>2656</v>
      </c>
      <c r="D513" t="str">
        <f t="shared" si="9"/>
        <v>FS7512114615,</v>
      </c>
    </row>
    <row r="514" spans="3:4">
      <c r="C514" t="s">
        <v>2657</v>
      </c>
      <c r="D514" t="str">
        <f t="shared" si="9"/>
        <v>FS7512118080,</v>
      </c>
    </row>
    <row r="515" spans="3:4">
      <c r="C515" t="s">
        <v>2658</v>
      </c>
      <c r="D515" t="str">
        <f t="shared" si="9"/>
        <v>ID7512530104,</v>
      </c>
    </row>
    <row r="516" spans="3:4">
      <c r="C516" t="s">
        <v>2659</v>
      </c>
      <c r="D516" t="str">
        <f t="shared" si="9"/>
        <v>KI7508752278,</v>
      </c>
    </row>
    <row r="517" spans="3:4">
      <c r="C517" t="s">
        <v>2660</v>
      </c>
      <c r="D517" t="str">
        <f t="shared" si="9"/>
        <v>KI7508846268,</v>
      </c>
    </row>
    <row r="518" spans="3:4">
      <c r="C518" t="s">
        <v>2661</v>
      </c>
      <c r="D518" t="str">
        <f t="shared" si="9"/>
        <v>LE0060896536,</v>
      </c>
    </row>
    <row r="519" spans="3:4">
      <c r="C519" t="s">
        <v>2662</v>
      </c>
      <c r="D519" t="str">
        <f t="shared" si="9"/>
        <v>LE7508468955,</v>
      </c>
    </row>
    <row r="520" spans="3:4">
      <c r="C520" t="s">
        <v>2663</v>
      </c>
      <c r="D520" t="str">
        <f t="shared" si="9"/>
        <v>LE7508491194,</v>
      </c>
    </row>
    <row r="521" spans="3:4">
      <c r="C521" t="s">
        <v>2664</v>
      </c>
      <c r="D521" t="str">
        <f t="shared" si="9"/>
        <v>RN7514616705,</v>
      </c>
    </row>
    <row r="522" spans="3:4">
      <c r="C522" t="s">
        <v>2665</v>
      </c>
      <c r="D522" t="str">
        <f t="shared" si="9"/>
        <v>SA7514143530,</v>
      </c>
    </row>
    <row r="523" spans="3:4">
      <c r="C523" t="s">
        <v>2666</v>
      </c>
      <c r="D523" t="str">
        <f t="shared" si="9"/>
        <v>SA7514145026,</v>
      </c>
    </row>
    <row r="524" spans="3:4">
      <c r="C524" t="s">
        <v>2667</v>
      </c>
      <c r="D524" t="str">
        <f t="shared" si="9"/>
        <v>FS7512113910,</v>
      </c>
    </row>
    <row r="525" spans="3:4">
      <c r="C525" t="s">
        <v>2668</v>
      </c>
      <c r="D525" t="str">
        <f t="shared" si="9"/>
        <v>JR9011792263,</v>
      </c>
    </row>
    <row r="526" spans="3:4">
      <c r="C526" t="s">
        <v>2669</v>
      </c>
      <c r="D526" t="str">
        <f t="shared" si="9"/>
        <v>KI7508750741,</v>
      </c>
    </row>
    <row r="527" spans="3:4">
      <c r="C527" t="s">
        <v>2670</v>
      </c>
      <c r="D527" t="str">
        <f t="shared" si="9"/>
        <v>LE7508483315,</v>
      </c>
    </row>
    <row r="528" spans="3:4">
      <c r="C528" t="s">
        <v>2671</v>
      </c>
      <c r="D528" t="str">
        <f t="shared" si="9"/>
        <v>MN7513084055,</v>
      </c>
    </row>
    <row r="529" spans="3:4">
      <c r="C529" t="s">
        <v>2672</v>
      </c>
      <c r="D529" t="str">
        <f t="shared" si="9"/>
        <v>PW7513550555,</v>
      </c>
    </row>
    <row r="530" spans="3:4">
      <c r="C530" t="s">
        <v>2673</v>
      </c>
      <c r="D530" t="str">
        <f t="shared" si="9"/>
        <v>PW7513553132,</v>
      </c>
    </row>
    <row r="531" spans="3:4">
      <c r="C531" t="s">
        <v>2674</v>
      </c>
      <c r="D531" t="str">
        <f t="shared" si="9"/>
        <v>SA7514143720,</v>
      </c>
    </row>
    <row r="532" spans="3:4">
      <c r="C532" t="s">
        <v>2675</v>
      </c>
      <c r="D532" t="str">
        <f t="shared" si="9"/>
        <v>ID7512526935,</v>
      </c>
    </row>
    <row r="533" spans="3:4">
      <c r="C533" t="s">
        <v>2676</v>
      </c>
      <c r="D533" t="str">
        <f t="shared" si="9"/>
        <v>LE0060894282,</v>
      </c>
    </row>
    <row r="534" spans="3:4">
      <c r="C534" t="s">
        <v>2677</v>
      </c>
      <c r="D534" t="str">
        <f t="shared" si="9"/>
        <v>FS7512069247,</v>
      </c>
    </row>
    <row r="535" spans="3:4">
      <c r="C535" t="s">
        <v>2678</v>
      </c>
      <c r="D535" t="str">
        <f t="shared" si="9"/>
        <v>MX7512746501,</v>
      </c>
    </row>
    <row r="536" spans="3:4">
      <c r="C536" t="s">
        <v>2679</v>
      </c>
      <c r="D536" t="str">
        <f t="shared" si="9"/>
        <v>JG7503725484,</v>
      </c>
    </row>
    <row r="537" spans="3:4">
      <c r="C537" t="s">
        <v>2680</v>
      </c>
      <c r="D537" t="str">
        <f t="shared" si="9"/>
        <v>MX7512746671,</v>
      </c>
    </row>
    <row r="538" spans="3:4">
      <c r="C538" t="s">
        <v>2681</v>
      </c>
      <c r="D538" t="str">
        <f t="shared" si="9"/>
        <v>KA7514318263,</v>
      </c>
    </row>
    <row r="539" spans="3:4">
      <c r="C539" t="s">
        <v>2682</v>
      </c>
      <c r="D539" t="str">
        <f t="shared" si="9"/>
        <v>LE0060895623,</v>
      </c>
    </row>
    <row r="540" spans="3:4">
      <c r="C540" t="s">
        <v>2683</v>
      </c>
      <c r="D540" t="str">
        <f t="shared" si="9"/>
        <v>SD7507949248,</v>
      </c>
    </row>
    <row r="541" spans="3:4">
      <c r="C541" t="s">
        <v>2684</v>
      </c>
      <c r="D541" t="str">
        <f t="shared" si="9"/>
        <v>FS7512016201,</v>
      </c>
    </row>
    <row r="542" spans="3:4">
      <c r="C542" t="s">
        <v>2685</v>
      </c>
      <c r="D542" t="str">
        <f t="shared" si="9"/>
        <v>KI7500301358,</v>
      </c>
    </row>
    <row r="543" spans="3:4">
      <c r="C543" t="s">
        <v>2686</v>
      </c>
      <c r="D543" t="str">
        <f t="shared" ref="D543:D606" si="10">""&amp;C543&amp;","</f>
        <v>KI7500301412,</v>
      </c>
    </row>
    <row r="544" spans="3:4">
      <c r="C544" t="s">
        <v>2687</v>
      </c>
      <c r="D544" t="str">
        <f t="shared" si="10"/>
        <v>KI7508696945,</v>
      </c>
    </row>
    <row r="545" spans="3:4">
      <c r="C545" t="s">
        <v>2688</v>
      </c>
      <c r="D545" t="str">
        <f t="shared" si="10"/>
        <v>KI7508707325,</v>
      </c>
    </row>
    <row r="546" spans="3:4">
      <c r="C546" t="s">
        <v>2689</v>
      </c>
      <c r="D546" t="str">
        <f t="shared" si="10"/>
        <v>KI7508738552,</v>
      </c>
    </row>
    <row r="547" spans="3:4">
      <c r="C547" t="s">
        <v>2690</v>
      </c>
      <c r="D547" t="str">
        <f t="shared" si="10"/>
        <v>KI7508749308,</v>
      </c>
    </row>
    <row r="548" spans="3:4">
      <c r="C548" t="s">
        <v>1498</v>
      </c>
      <c r="D548" t="str">
        <f t="shared" si="10"/>
        <v>LE7508426199,</v>
      </c>
    </row>
    <row r="549" spans="3:4">
      <c r="C549" t="s">
        <v>2691</v>
      </c>
      <c r="D549" t="str">
        <f t="shared" si="10"/>
        <v>LE7508451045,</v>
      </c>
    </row>
    <row r="550" spans="3:4">
      <c r="C550" t="s">
        <v>2692</v>
      </c>
      <c r="D550" t="str">
        <f t="shared" si="10"/>
        <v>MN7513085700,</v>
      </c>
    </row>
    <row r="551" spans="3:4">
      <c r="C551" t="s">
        <v>2693</v>
      </c>
      <c r="D551" t="str">
        <f t="shared" si="10"/>
        <v>MX7512743848,</v>
      </c>
    </row>
    <row r="552" spans="3:4">
      <c r="C552" t="s">
        <v>2694</v>
      </c>
      <c r="D552" t="str">
        <f t="shared" si="10"/>
        <v>MX7512747231,</v>
      </c>
    </row>
    <row r="553" spans="3:4">
      <c r="C553" t="s">
        <v>2695</v>
      </c>
      <c r="D553" t="str">
        <f t="shared" si="10"/>
        <v>MX7512750340,</v>
      </c>
    </row>
    <row r="554" spans="3:4">
      <c r="C554" t="s">
        <v>2696</v>
      </c>
      <c r="D554" t="str">
        <f t="shared" si="10"/>
        <v>PW7513553912,</v>
      </c>
    </row>
    <row r="555" spans="3:4">
      <c r="C555" t="s">
        <v>2697</v>
      </c>
      <c r="D555" t="str">
        <f t="shared" si="10"/>
        <v>UE7503405226,</v>
      </c>
    </row>
    <row r="556" spans="3:4">
      <c r="C556" t="s">
        <v>2698</v>
      </c>
      <c r="D556" t="str">
        <f t="shared" si="10"/>
        <v>FS7512051555,</v>
      </c>
    </row>
    <row r="557" spans="3:4">
      <c r="C557" t="s">
        <v>2699</v>
      </c>
      <c r="D557" t="str">
        <f t="shared" si="10"/>
        <v>KI7508646146,</v>
      </c>
    </row>
    <row r="558" spans="3:4">
      <c r="C558" t="s">
        <v>1464</v>
      </c>
      <c r="D558" t="str">
        <f t="shared" si="10"/>
        <v>KI9012158708,</v>
      </c>
    </row>
    <row r="559" spans="3:4">
      <c r="C559" t="s">
        <v>1353</v>
      </c>
      <c r="D559" t="str">
        <f t="shared" si="10"/>
        <v>KI9012162844,</v>
      </c>
    </row>
    <row r="560" spans="3:4">
      <c r="C560" t="s">
        <v>2700</v>
      </c>
      <c r="D560" t="str">
        <f t="shared" si="10"/>
        <v>KI9012169769,</v>
      </c>
    </row>
    <row r="561" spans="3:4">
      <c r="C561" t="s">
        <v>2701</v>
      </c>
      <c r="D561" t="str">
        <f t="shared" si="10"/>
        <v>KI9012174566,</v>
      </c>
    </row>
    <row r="562" spans="3:4">
      <c r="C562" t="s">
        <v>2702</v>
      </c>
      <c r="D562" t="str">
        <f t="shared" si="10"/>
        <v>KI9012176274,</v>
      </c>
    </row>
    <row r="563" spans="3:4">
      <c r="C563" t="s">
        <v>2703</v>
      </c>
      <c r="D563" t="str">
        <f t="shared" si="10"/>
        <v>LE7508409275,</v>
      </c>
    </row>
    <row r="564" spans="3:4">
      <c r="C564" t="s">
        <v>1517</v>
      </c>
      <c r="D564" t="str">
        <f t="shared" si="10"/>
        <v>LE9012170903,</v>
      </c>
    </row>
    <row r="565" spans="3:4">
      <c r="C565" t="s">
        <v>1474</v>
      </c>
      <c r="D565" t="str">
        <f t="shared" si="10"/>
        <v>LE9012193836,</v>
      </c>
    </row>
    <row r="566" spans="3:4">
      <c r="C566" t="s">
        <v>1518</v>
      </c>
      <c r="D566" t="str">
        <f t="shared" si="10"/>
        <v>RN9012191820,</v>
      </c>
    </row>
    <row r="567" spans="3:4">
      <c r="C567" t="s">
        <v>2704</v>
      </c>
      <c r="D567" t="str">
        <f t="shared" si="10"/>
        <v>FS9012158493,</v>
      </c>
    </row>
    <row r="568" spans="3:4">
      <c r="C568" t="s">
        <v>2705</v>
      </c>
      <c r="D568" t="str">
        <f t="shared" si="10"/>
        <v>KI9012164336,</v>
      </c>
    </row>
    <row r="569" spans="3:4">
      <c r="C569" t="s">
        <v>2706</v>
      </c>
      <c r="D569" t="str">
        <f t="shared" si="10"/>
        <v>KI9012167893,</v>
      </c>
    </row>
    <row r="570" spans="3:4">
      <c r="C570" t="s">
        <v>1501</v>
      </c>
      <c r="D570" t="str">
        <f t="shared" si="10"/>
        <v>KI9012181044,</v>
      </c>
    </row>
    <row r="571" spans="3:4">
      <c r="C571" t="s">
        <v>1438</v>
      </c>
      <c r="D571" t="str">
        <f t="shared" si="10"/>
        <v>LE7508431147,</v>
      </c>
    </row>
    <row r="572" spans="3:4">
      <c r="C572" t="s">
        <v>2707</v>
      </c>
      <c r="D572" t="str">
        <f t="shared" si="10"/>
        <v>FS7512361713,</v>
      </c>
    </row>
    <row r="573" spans="3:4">
      <c r="C573" t="s">
        <v>2708</v>
      </c>
      <c r="D573" t="str">
        <f t="shared" si="10"/>
        <v>LE9012171036,</v>
      </c>
    </row>
    <row r="574" spans="3:4">
      <c r="C574" t="s">
        <v>2709</v>
      </c>
      <c r="D574" t="str">
        <f t="shared" si="10"/>
        <v>LE9012173588,</v>
      </c>
    </row>
    <row r="575" spans="3:4">
      <c r="C575" t="s">
        <v>1456</v>
      </c>
      <c r="D575" t="str">
        <f t="shared" si="10"/>
        <v>MG7507559803,</v>
      </c>
    </row>
    <row r="576" spans="3:4">
      <c r="C576" t="s">
        <v>2710</v>
      </c>
      <c r="D576" t="str">
        <f t="shared" si="10"/>
        <v>KI9012165743,</v>
      </c>
    </row>
    <row r="577" spans="3:4">
      <c r="C577" t="s">
        <v>2711</v>
      </c>
      <c r="D577" t="str">
        <f t="shared" si="10"/>
        <v>KI9012172486,</v>
      </c>
    </row>
    <row r="578" spans="3:4">
      <c r="C578" t="s">
        <v>1453</v>
      </c>
      <c r="D578" t="str">
        <f t="shared" si="10"/>
        <v>LE7508427861,</v>
      </c>
    </row>
    <row r="579" spans="3:4">
      <c r="C579" t="s">
        <v>1485</v>
      </c>
      <c r="D579" t="str">
        <f t="shared" si="10"/>
        <v>LE9012179646,</v>
      </c>
    </row>
    <row r="580" spans="3:4">
      <c r="C580" t="s">
        <v>1470</v>
      </c>
      <c r="D580" t="str">
        <f t="shared" si="10"/>
        <v>LE9012181306,</v>
      </c>
    </row>
    <row r="581" spans="3:4">
      <c r="C581" t="s">
        <v>1469</v>
      </c>
      <c r="D581" t="str">
        <f t="shared" si="10"/>
        <v>JG7503724817,</v>
      </c>
    </row>
    <row r="582" spans="3:4">
      <c r="C582" t="s">
        <v>1458</v>
      </c>
      <c r="D582" t="str">
        <f t="shared" si="10"/>
        <v>KA7513709657,</v>
      </c>
    </row>
    <row r="583" spans="3:4">
      <c r="C583" t="s">
        <v>2712</v>
      </c>
      <c r="D583" t="str">
        <f t="shared" si="10"/>
        <v>KI7508568170,</v>
      </c>
    </row>
    <row r="584" spans="3:4">
      <c r="C584" t="s">
        <v>2713</v>
      </c>
      <c r="D584" t="str">
        <f t="shared" si="10"/>
        <v>KI7508652606,</v>
      </c>
    </row>
    <row r="585" spans="3:4">
      <c r="C585" t="s">
        <v>2714</v>
      </c>
      <c r="D585" t="str">
        <f t="shared" si="10"/>
        <v>KI9012174002,</v>
      </c>
    </row>
    <row r="586" spans="3:4">
      <c r="C586" t="s">
        <v>1489</v>
      </c>
      <c r="D586" t="str">
        <f t="shared" si="10"/>
        <v>KI9012178091,</v>
      </c>
    </row>
    <row r="587" spans="3:4">
      <c r="C587" t="s">
        <v>1451</v>
      </c>
      <c r="D587" t="str">
        <f t="shared" si="10"/>
        <v>KL7513989548,</v>
      </c>
    </row>
    <row r="588" spans="3:4">
      <c r="C588" t="s">
        <v>1436</v>
      </c>
      <c r="D588" t="str">
        <f t="shared" si="10"/>
        <v>LE9012173355,</v>
      </c>
    </row>
    <row r="589" spans="3:4">
      <c r="C589" t="s">
        <v>1473</v>
      </c>
      <c r="D589" t="str">
        <f t="shared" si="10"/>
        <v>LE9012176000,</v>
      </c>
    </row>
    <row r="590" spans="3:4">
      <c r="C590" t="s">
        <v>1500</v>
      </c>
      <c r="D590" t="str">
        <f t="shared" si="10"/>
        <v>LE9012179647,</v>
      </c>
    </row>
    <row r="591" spans="3:4">
      <c r="C591" t="s">
        <v>1461</v>
      </c>
      <c r="D591" t="str">
        <f t="shared" si="10"/>
        <v>LE9012183787,</v>
      </c>
    </row>
    <row r="592" spans="3:4">
      <c r="C592" t="s">
        <v>1532</v>
      </c>
      <c r="D592" t="str">
        <f t="shared" si="10"/>
        <v>LE9012195540,</v>
      </c>
    </row>
    <row r="593" spans="3:4">
      <c r="C593" t="s">
        <v>2715</v>
      </c>
      <c r="D593" t="str">
        <f t="shared" si="10"/>
        <v>FS7512056645,</v>
      </c>
    </row>
    <row r="594" spans="3:4">
      <c r="C594" t="s">
        <v>2716</v>
      </c>
      <c r="D594" t="str">
        <f t="shared" si="10"/>
        <v>FS7512092197,</v>
      </c>
    </row>
    <row r="595" spans="3:4">
      <c r="C595" t="s">
        <v>2717</v>
      </c>
      <c r="D595" t="str">
        <f t="shared" si="10"/>
        <v>KI7500308352,</v>
      </c>
    </row>
    <row r="596" spans="3:4">
      <c r="C596" t="s">
        <v>2718</v>
      </c>
      <c r="D596" t="str">
        <f t="shared" si="10"/>
        <v>KP7514168450,</v>
      </c>
    </row>
    <row r="597" spans="3:4">
      <c r="C597" t="s">
        <v>2719</v>
      </c>
      <c r="D597" t="str">
        <f t="shared" si="10"/>
        <v>LE9012151665,</v>
      </c>
    </row>
    <row r="598" spans="3:4">
      <c r="C598" t="s">
        <v>2720</v>
      </c>
      <c r="D598" t="str">
        <f t="shared" si="10"/>
        <v>FS7512075960,</v>
      </c>
    </row>
    <row r="599" spans="3:4">
      <c r="C599" t="s">
        <v>2721</v>
      </c>
      <c r="D599" t="str">
        <f t="shared" si="10"/>
        <v>FS7512091472,</v>
      </c>
    </row>
    <row r="600" spans="3:4">
      <c r="C600" t="s">
        <v>2722</v>
      </c>
      <c r="D600" t="str">
        <f t="shared" si="10"/>
        <v>FS7512093733,</v>
      </c>
    </row>
    <row r="601" spans="3:4">
      <c r="C601" t="s">
        <v>2723</v>
      </c>
      <c r="D601" t="str">
        <f t="shared" si="10"/>
        <v>FS7512096231,</v>
      </c>
    </row>
    <row r="602" spans="3:4">
      <c r="C602" t="s">
        <v>2724</v>
      </c>
      <c r="D602" t="str">
        <f t="shared" si="10"/>
        <v>FS7512108711,</v>
      </c>
    </row>
    <row r="603" spans="3:4">
      <c r="C603" t="s">
        <v>2725</v>
      </c>
      <c r="D603" t="str">
        <f t="shared" si="10"/>
        <v>FS7512377389,</v>
      </c>
    </row>
    <row r="604" spans="3:4">
      <c r="C604" t="s">
        <v>2726</v>
      </c>
      <c r="D604" t="str">
        <f t="shared" si="10"/>
        <v>FS7512378951,</v>
      </c>
    </row>
    <row r="605" spans="3:4">
      <c r="C605" t="s">
        <v>2727</v>
      </c>
      <c r="D605" t="str">
        <f t="shared" si="10"/>
        <v>KI7500311132,</v>
      </c>
    </row>
    <row r="606" spans="3:4">
      <c r="C606" t="s">
        <v>2728</v>
      </c>
      <c r="D606" t="str">
        <f t="shared" si="10"/>
        <v>KI7508751084,</v>
      </c>
    </row>
    <row r="607" spans="3:4">
      <c r="C607" t="s">
        <v>2729</v>
      </c>
      <c r="D607" t="str">
        <f t="shared" ref="D607:D670" si="11">""&amp;C607&amp;","</f>
        <v>KI7508760344,</v>
      </c>
    </row>
    <row r="608" spans="3:4">
      <c r="C608" t="s">
        <v>2730</v>
      </c>
      <c r="D608" t="str">
        <f t="shared" si="11"/>
        <v>KI7508767975,</v>
      </c>
    </row>
    <row r="609" spans="3:4">
      <c r="C609" t="s">
        <v>2731</v>
      </c>
      <c r="D609" t="str">
        <f t="shared" si="11"/>
        <v>KL7513990901,</v>
      </c>
    </row>
    <row r="610" spans="3:4">
      <c r="C610" t="s">
        <v>2732</v>
      </c>
      <c r="D610" t="str">
        <f t="shared" si="11"/>
        <v>KP7514169196,</v>
      </c>
    </row>
    <row r="611" spans="3:4">
      <c r="C611" t="s">
        <v>2733</v>
      </c>
      <c r="D611" t="str">
        <f t="shared" si="11"/>
        <v>LE7508460908,</v>
      </c>
    </row>
    <row r="612" spans="3:4">
      <c r="C612" t="s">
        <v>2734</v>
      </c>
      <c r="D612" t="str">
        <f t="shared" si="11"/>
        <v>LE7508473522,</v>
      </c>
    </row>
    <row r="613" spans="3:4">
      <c r="C613" t="s">
        <v>2735</v>
      </c>
      <c r="D613" t="str">
        <f t="shared" si="11"/>
        <v>LE7508487996,</v>
      </c>
    </row>
    <row r="614" spans="3:4">
      <c r="C614" t="s">
        <v>2736</v>
      </c>
      <c r="D614" t="str">
        <f t="shared" si="11"/>
        <v>MN7513086519,</v>
      </c>
    </row>
    <row r="615" spans="3:4">
      <c r="C615" t="s">
        <v>2737</v>
      </c>
      <c r="D615" t="str">
        <f t="shared" si="11"/>
        <v>BW7513891853,</v>
      </c>
    </row>
    <row r="616" spans="3:4">
      <c r="C616" t="s">
        <v>2738</v>
      </c>
      <c r="D616" t="str">
        <f t="shared" si="11"/>
        <v>FS7512102688,</v>
      </c>
    </row>
    <row r="617" spans="3:4">
      <c r="C617" t="s">
        <v>2739</v>
      </c>
      <c r="D617" t="str">
        <f t="shared" si="11"/>
        <v>ID7512533017,</v>
      </c>
    </row>
    <row r="618" spans="3:4">
      <c r="C618" t="s">
        <v>2740</v>
      </c>
      <c r="D618" t="str">
        <f t="shared" si="11"/>
        <v>KI7500302912,</v>
      </c>
    </row>
    <row r="619" spans="3:4">
      <c r="C619" t="s">
        <v>2741</v>
      </c>
      <c r="D619" t="str">
        <f t="shared" si="11"/>
        <v>KI7508764402,</v>
      </c>
    </row>
    <row r="620" spans="3:4">
      <c r="C620" t="s">
        <v>2742</v>
      </c>
      <c r="D620" t="str">
        <f t="shared" si="11"/>
        <v>MX7512752313,</v>
      </c>
    </row>
    <row r="621" spans="3:4">
      <c r="C621" t="s">
        <v>2743</v>
      </c>
      <c r="D621" t="str">
        <f t="shared" si="11"/>
        <v>KI7500307509,</v>
      </c>
    </row>
    <row r="622" spans="3:4">
      <c r="C622" t="s">
        <v>2744</v>
      </c>
      <c r="D622" t="str">
        <f t="shared" si="11"/>
        <v>KI7508759952,</v>
      </c>
    </row>
    <row r="623" spans="3:4">
      <c r="C623" t="s">
        <v>2745</v>
      </c>
      <c r="D623" t="str">
        <f t="shared" si="11"/>
        <v>LE7508516091,</v>
      </c>
    </row>
    <row r="624" spans="3:4">
      <c r="C624" t="s">
        <v>2746</v>
      </c>
      <c r="D624" t="str">
        <f t="shared" si="11"/>
        <v>LE7508533782,</v>
      </c>
    </row>
    <row r="625" spans="3:4">
      <c r="C625" t="s">
        <v>2747</v>
      </c>
      <c r="D625" t="str">
        <f t="shared" si="11"/>
        <v>SA7514145908,</v>
      </c>
    </row>
    <row r="626" spans="3:4">
      <c r="C626" t="s">
        <v>2748</v>
      </c>
      <c r="D626" t="str">
        <f t="shared" si="11"/>
        <v>FS7512085868,</v>
      </c>
    </row>
    <row r="627" spans="3:4">
      <c r="C627" t="s">
        <v>2749</v>
      </c>
      <c r="D627" t="str">
        <f t="shared" si="11"/>
        <v>FS7512087722,</v>
      </c>
    </row>
    <row r="628" spans="3:4">
      <c r="C628" t="s">
        <v>2750</v>
      </c>
      <c r="D628" t="str">
        <f t="shared" si="11"/>
        <v>FS7512100424,</v>
      </c>
    </row>
    <row r="629" spans="3:4">
      <c r="C629" t="s">
        <v>2751</v>
      </c>
      <c r="D629" t="str">
        <f t="shared" si="11"/>
        <v>ID7512529643,</v>
      </c>
    </row>
    <row r="630" spans="3:4">
      <c r="C630" t="s">
        <v>2752</v>
      </c>
      <c r="D630" t="str">
        <f t="shared" si="11"/>
        <v>KI7508806141,</v>
      </c>
    </row>
    <row r="631" spans="3:4">
      <c r="C631" t="s">
        <v>2753</v>
      </c>
      <c r="D631" t="str">
        <f t="shared" si="11"/>
        <v>LE7508512859,</v>
      </c>
    </row>
    <row r="632" spans="3:4">
      <c r="C632" t="s">
        <v>2754</v>
      </c>
      <c r="D632" t="str">
        <f t="shared" si="11"/>
        <v>FS7512079332,</v>
      </c>
    </row>
    <row r="633" spans="3:4">
      <c r="C633" t="s">
        <v>2755</v>
      </c>
      <c r="D633" t="str">
        <f t="shared" si="11"/>
        <v>FS7512089537,</v>
      </c>
    </row>
    <row r="634" spans="3:4">
      <c r="C634" t="s">
        <v>2756</v>
      </c>
      <c r="D634" t="str">
        <f t="shared" si="11"/>
        <v>FS7512092274,</v>
      </c>
    </row>
    <row r="635" spans="3:4">
      <c r="C635" t="s">
        <v>2757</v>
      </c>
      <c r="D635" t="str">
        <f t="shared" si="11"/>
        <v>KI7508766988,</v>
      </c>
    </row>
    <row r="636" spans="3:4">
      <c r="C636" t="s">
        <v>2758</v>
      </c>
      <c r="D636" t="str">
        <f t="shared" si="11"/>
        <v>KI7508781725,</v>
      </c>
    </row>
    <row r="637" spans="3:4">
      <c r="C637" t="s">
        <v>2759</v>
      </c>
      <c r="D637" t="str">
        <f t="shared" si="11"/>
        <v>KI7508787331,</v>
      </c>
    </row>
    <row r="638" spans="3:4">
      <c r="C638" t="s">
        <v>2760</v>
      </c>
      <c r="D638" t="str">
        <f t="shared" si="11"/>
        <v>KI7508806443,</v>
      </c>
    </row>
    <row r="639" spans="3:4">
      <c r="C639" t="s">
        <v>2761</v>
      </c>
      <c r="D639" t="str">
        <f t="shared" si="11"/>
        <v>KP7514168046,</v>
      </c>
    </row>
    <row r="640" spans="3:4">
      <c r="C640" t="s">
        <v>2762</v>
      </c>
      <c r="D640" t="str">
        <f t="shared" si="11"/>
        <v>FS7512083820,</v>
      </c>
    </row>
    <row r="641" spans="3:4">
      <c r="C641" t="s">
        <v>2763</v>
      </c>
      <c r="D641" t="str">
        <f t="shared" si="11"/>
        <v>FS7512087653,</v>
      </c>
    </row>
    <row r="642" spans="3:4">
      <c r="C642" t="s">
        <v>2764</v>
      </c>
      <c r="D642" t="str">
        <f t="shared" si="11"/>
        <v>FS7512090665,</v>
      </c>
    </row>
    <row r="643" spans="3:4">
      <c r="C643" t="s">
        <v>2765</v>
      </c>
      <c r="D643" t="str">
        <f t="shared" si="11"/>
        <v>FS7512377130,</v>
      </c>
    </row>
    <row r="644" spans="3:4">
      <c r="C644" t="s">
        <v>2766</v>
      </c>
      <c r="D644" t="str">
        <f t="shared" si="11"/>
        <v>KI7500302853,</v>
      </c>
    </row>
    <row r="645" spans="3:4">
      <c r="C645" t="s">
        <v>2767</v>
      </c>
      <c r="D645" t="str">
        <f t="shared" si="11"/>
        <v>KI7508637522,</v>
      </c>
    </row>
    <row r="646" spans="3:4">
      <c r="C646" t="s">
        <v>2768</v>
      </c>
      <c r="D646" t="str">
        <f t="shared" si="11"/>
        <v>KI7508738285,</v>
      </c>
    </row>
    <row r="647" spans="3:4">
      <c r="C647" t="s">
        <v>2769</v>
      </c>
      <c r="D647" t="str">
        <f t="shared" si="11"/>
        <v>KI7508744279,</v>
      </c>
    </row>
    <row r="648" spans="3:4">
      <c r="C648" t="s">
        <v>2770</v>
      </c>
      <c r="D648" t="str">
        <f t="shared" si="11"/>
        <v>KI7508756381,</v>
      </c>
    </row>
    <row r="649" spans="3:4">
      <c r="C649" t="s">
        <v>2771</v>
      </c>
      <c r="D649" t="str">
        <f t="shared" si="11"/>
        <v>KI7510059658,</v>
      </c>
    </row>
    <row r="650" spans="3:4">
      <c r="C650" t="s">
        <v>2772</v>
      </c>
      <c r="D650" t="str">
        <f t="shared" si="11"/>
        <v>LE7508484778,</v>
      </c>
    </row>
    <row r="651" spans="3:4">
      <c r="C651" t="s">
        <v>2773</v>
      </c>
      <c r="D651" t="str">
        <f t="shared" si="11"/>
        <v>FS7512074422,</v>
      </c>
    </row>
    <row r="652" spans="3:4">
      <c r="C652" t="s">
        <v>2774</v>
      </c>
      <c r="D652" t="str">
        <f t="shared" si="11"/>
        <v>ID7512528639,</v>
      </c>
    </row>
    <row r="653" spans="3:4">
      <c r="C653" t="s">
        <v>2775</v>
      </c>
      <c r="D653" t="str">
        <f t="shared" si="11"/>
        <v>KI7500303913,</v>
      </c>
    </row>
    <row r="654" spans="3:4">
      <c r="C654" t="s">
        <v>2776</v>
      </c>
      <c r="D654" t="str">
        <f t="shared" si="11"/>
        <v>KI7508637543,</v>
      </c>
    </row>
    <row r="655" spans="3:4">
      <c r="C655" t="s">
        <v>2777</v>
      </c>
      <c r="D655" t="str">
        <f t="shared" si="11"/>
        <v>KI7508688342,</v>
      </c>
    </row>
    <row r="656" spans="3:4">
      <c r="C656" t="s">
        <v>2778</v>
      </c>
      <c r="D656" t="str">
        <f t="shared" si="11"/>
        <v>KI7508714465,</v>
      </c>
    </row>
    <row r="657" spans="3:4">
      <c r="C657" t="s">
        <v>2779</v>
      </c>
      <c r="D657" t="str">
        <f t="shared" si="11"/>
        <v>KI7508714596,</v>
      </c>
    </row>
    <row r="658" spans="3:4">
      <c r="C658" t="s">
        <v>2780</v>
      </c>
      <c r="D658" t="str">
        <f t="shared" si="11"/>
        <v>KI7508714752,</v>
      </c>
    </row>
    <row r="659" spans="3:4">
      <c r="C659" t="s">
        <v>2781</v>
      </c>
      <c r="D659" t="str">
        <f t="shared" si="11"/>
        <v>KI7508738197,</v>
      </c>
    </row>
    <row r="660" spans="3:4">
      <c r="C660" t="s">
        <v>2782</v>
      </c>
      <c r="D660" t="str">
        <f t="shared" si="11"/>
        <v>KI7508747840,</v>
      </c>
    </row>
    <row r="661" spans="3:4">
      <c r="C661" t="s">
        <v>2783</v>
      </c>
      <c r="D661" t="str">
        <f t="shared" si="11"/>
        <v>LE7508466463,</v>
      </c>
    </row>
    <row r="662" spans="3:4">
      <c r="C662" t="s">
        <v>2784</v>
      </c>
      <c r="D662" t="str">
        <f t="shared" si="11"/>
        <v>LE7508483510,</v>
      </c>
    </row>
    <row r="663" spans="3:4">
      <c r="C663" t="s">
        <v>2785</v>
      </c>
      <c r="D663" t="str">
        <f t="shared" si="11"/>
        <v>LE7508496689,</v>
      </c>
    </row>
    <row r="664" spans="3:4">
      <c r="C664" t="s">
        <v>2786</v>
      </c>
      <c r="D664" t="str">
        <f t="shared" si="11"/>
        <v>MN7513084401,</v>
      </c>
    </row>
    <row r="665" spans="3:4">
      <c r="C665" t="s">
        <v>2787</v>
      </c>
      <c r="D665" t="str">
        <f t="shared" si="11"/>
        <v>PW7513553586,</v>
      </c>
    </row>
    <row r="666" spans="3:4">
      <c r="C666" t="s">
        <v>2788</v>
      </c>
      <c r="D666" t="str">
        <f t="shared" si="11"/>
        <v>SQ7503446543,</v>
      </c>
    </row>
    <row r="667" spans="3:4">
      <c r="C667" t="s">
        <v>2789</v>
      </c>
      <c r="D667" t="str">
        <f t="shared" si="11"/>
        <v>KI7500695236,</v>
      </c>
    </row>
    <row r="668" spans="3:4">
      <c r="C668" t="s">
        <v>2790</v>
      </c>
      <c r="D668" t="str">
        <f t="shared" si="11"/>
        <v>KI7500697600,</v>
      </c>
    </row>
    <row r="669" spans="3:4">
      <c r="C669" t="s">
        <v>2791</v>
      </c>
      <c r="D669" t="str">
        <f t="shared" si="11"/>
        <v>KI7508629274,</v>
      </c>
    </row>
    <row r="670" spans="3:4">
      <c r="C670" t="s">
        <v>2792</v>
      </c>
      <c r="D670" t="str">
        <f t="shared" si="11"/>
        <v>KL7513990171,</v>
      </c>
    </row>
    <row r="671" spans="3:4">
      <c r="C671" t="s">
        <v>2793</v>
      </c>
      <c r="D671" t="str">
        <f t="shared" ref="D671:D734" si="12">""&amp;C671&amp;","</f>
        <v>LE7507140904,</v>
      </c>
    </row>
    <row r="672" spans="3:4">
      <c r="C672" t="s">
        <v>2794</v>
      </c>
      <c r="D672" t="str">
        <f t="shared" si="12"/>
        <v>LE7508421962,</v>
      </c>
    </row>
    <row r="673" spans="3:4">
      <c r="C673" t="s">
        <v>2795</v>
      </c>
      <c r="D673" t="str">
        <f t="shared" si="12"/>
        <v>SA7514139631,</v>
      </c>
    </row>
    <row r="674" spans="3:4">
      <c r="C674" t="s">
        <v>2796</v>
      </c>
      <c r="D674" t="str">
        <f t="shared" si="12"/>
        <v>FS7511986973,</v>
      </c>
    </row>
    <row r="675" spans="3:4">
      <c r="C675" t="s">
        <v>2797</v>
      </c>
      <c r="D675" t="str">
        <f t="shared" si="12"/>
        <v>ID7512524126,</v>
      </c>
    </row>
    <row r="676" spans="3:4">
      <c r="C676" t="s">
        <v>2798</v>
      </c>
      <c r="D676" t="str">
        <f t="shared" si="12"/>
        <v>KI7508646389,</v>
      </c>
    </row>
    <row r="677" spans="3:4">
      <c r="C677" t="s">
        <v>2799</v>
      </c>
      <c r="D677" t="str">
        <f t="shared" si="12"/>
        <v>KI7508681693,</v>
      </c>
    </row>
    <row r="678" spans="3:4">
      <c r="C678" t="s">
        <v>2800</v>
      </c>
      <c r="D678" t="str">
        <f t="shared" si="12"/>
        <v>KI7508706490,</v>
      </c>
    </row>
    <row r="679" spans="3:4">
      <c r="C679" t="s">
        <v>2801</v>
      </c>
      <c r="D679" t="str">
        <f t="shared" si="12"/>
        <v>KI9012183361,</v>
      </c>
    </row>
    <row r="680" spans="3:4">
      <c r="C680" t="s">
        <v>2802</v>
      </c>
      <c r="D680" t="str">
        <f t="shared" si="12"/>
        <v>KP7514168029,</v>
      </c>
    </row>
    <row r="681" spans="3:4">
      <c r="C681" t="s">
        <v>2803</v>
      </c>
      <c r="D681" t="str">
        <f t="shared" si="12"/>
        <v>PW7513550638,</v>
      </c>
    </row>
    <row r="682" spans="3:4">
      <c r="C682" t="s">
        <v>2804</v>
      </c>
      <c r="D682" t="str">
        <f t="shared" si="12"/>
        <v>WC7503532159,</v>
      </c>
    </row>
    <row r="683" spans="3:4">
      <c r="C683" t="s">
        <v>2805</v>
      </c>
      <c r="D683" t="str">
        <f t="shared" si="12"/>
        <v>AM7513836164,</v>
      </c>
    </row>
    <row r="684" spans="3:4">
      <c r="C684" t="s">
        <v>2806</v>
      </c>
      <c r="D684" t="str">
        <f t="shared" si="12"/>
        <v>KI7508674600,</v>
      </c>
    </row>
    <row r="685" spans="3:4">
      <c r="C685" t="s">
        <v>2807</v>
      </c>
      <c r="D685" t="str">
        <f t="shared" si="12"/>
        <v>LE7508301583,</v>
      </c>
    </row>
    <row r="686" spans="3:4">
      <c r="C686" t="s">
        <v>2808</v>
      </c>
      <c r="D686" t="str">
        <f t="shared" si="12"/>
        <v>DI7503925924,</v>
      </c>
    </row>
    <row r="687" spans="3:4">
      <c r="C687" t="s">
        <v>2809</v>
      </c>
      <c r="D687" t="str">
        <f t="shared" si="12"/>
        <v>KI7508702125,</v>
      </c>
    </row>
    <row r="688" spans="3:4">
      <c r="C688" t="s">
        <v>2810</v>
      </c>
      <c r="D688" t="str">
        <f t="shared" si="12"/>
        <v>LE7508414669,</v>
      </c>
    </row>
    <row r="689" spans="3:4">
      <c r="C689" t="s">
        <v>2811</v>
      </c>
      <c r="D689" t="str">
        <f t="shared" si="12"/>
        <v>LE7508464633,</v>
      </c>
    </row>
    <row r="690" spans="3:4">
      <c r="C690" t="s">
        <v>2812</v>
      </c>
      <c r="D690" t="str">
        <f t="shared" si="12"/>
        <v>SA7514140412,</v>
      </c>
    </row>
    <row r="691" spans="3:4">
      <c r="C691" t="s">
        <v>2813</v>
      </c>
      <c r="D691" t="str">
        <f t="shared" si="12"/>
        <v>SP7514182113,</v>
      </c>
    </row>
    <row r="692" spans="3:4">
      <c r="C692" t="s">
        <v>2814</v>
      </c>
      <c r="D692" t="str">
        <f t="shared" si="12"/>
        <v>SP7514182963,</v>
      </c>
    </row>
    <row r="693" spans="3:4">
      <c r="C693" t="s">
        <v>2815</v>
      </c>
      <c r="D693" t="str">
        <f t="shared" si="12"/>
        <v>FS7512034527,</v>
      </c>
    </row>
    <row r="694" spans="3:4">
      <c r="C694" t="s">
        <v>2816</v>
      </c>
      <c r="D694" t="str">
        <f t="shared" si="12"/>
        <v>FS7512371358,</v>
      </c>
    </row>
    <row r="695" spans="3:4">
      <c r="C695" t="s">
        <v>2817</v>
      </c>
      <c r="D695" t="str">
        <f t="shared" si="12"/>
        <v>ID7512518922,</v>
      </c>
    </row>
    <row r="696" spans="3:4">
      <c r="C696" t="s">
        <v>2818</v>
      </c>
      <c r="D696" t="str">
        <f t="shared" si="12"/>
        <v>KI7508652543,</v>
      </c>
    </row>
    <row r="697" spans="3:4">
      <c r="C697" t="s">
        <v>2819</v>
      </c>
      <c r="D697" t="str">
        <f t="shared" si="12"/>
        <v>KI7508711436,</v>
      </c>
    </row>
    <row r="698" spans="3:4">
      <c r="C698" t="s">
        <v>2820</v>
      </c>
      <c r="D698" t="str">
        <f t="shared" si="12"/>
        <v>LE0060895199,</v>
      </c>
    </row>
    <row r="699" spans="3:4">
      <c r="C699" t="s">
        <v>2821</v>
      </c>
      <c r="D699" t="str">
        <f t="shared" si="12"/>
        <v>LE7508441639,</v>
      </c>
    </row>
    <row r="700" spans="3:4">
      <c r="C700" t="s">
        <v>2822</v>
      </c>
      <c r="D700" t="str">
        <f t="shared" si="12"/>
        <v>LE7508445916,</v>
      </c>
    </row>
    <row r="701" spans="3:4">
      <c r="C701" t="s">
        <v>2823</v>
      </c>
      <c r="D701" t="str">
        <f t="shared" si="12"/>
        <v>MB7503764193,</v>
      </c>
    </row>
    <row r="702" spans="3:4">
      <c r="C702" t="s">
        <v>2824</v>
      </c>
      <c r="D702" t="str">
        <f t="shared" si="12"/>
        <v>MN7513081155,</v>
      </c>
    </row>
    <row r="703" spans="3:4">
      <c r="C703" t="s">
        <v>2825</v>
      </c>
      <c r="D703" t="str">
        <f t="shared" si="12"/>
        <v>SA7514139223,</v>
      </c>
    </row>
    <row r="704" spans="3:4">
      <c r="C704" t="s">
        <v>2826</v>
      </c>
      <c r="D704" t="str">
        <f t="shared" si="12"/>
        <v>FS7512068884,</v>
      </c>
    </row>
    <row r="705" spans="3:4">
      <c r="C705" t="s">
        <v>2827</v>
      </c>
      <c r="D705" t="str">
        <f t="shared" si="12"/>
        <v>FS7512071873,</v>
      </c>
    </row>
    <row r="706" spans="3:4">
      <c r="C706" t="s">
        <v>2828</v>
      </c>
      <c r="D706" t="str">
        <f t="shared" si="12"/>
        <v>FS7512082259,</v>
      </c>
    </row>
    <row r="707" spans="3:4">
      <c r="C707" t="s">
        <v>2829</v>
      </c>
      <c r="D707" t="str">
        <f t="shared" si="12"/>
        <v>FS7512083610,</v>
      </c>
    </row>
    <row r="708" spans="3:4">
      <c r="C708" t="s">
        <v>2830</v>
      </c>
      <c r="D708" t="str">
        <f t="shared" si="12"/>
        <v>FS7512085327,</v>
      </c>
    </row>
    <row r="709" spans="3:4">
      <c r="C709" t="s">
        <v>2831</v>
      </c>
      <c r="D709" t="str">
        <f t="shared" si="12"/>
        <v>FS7512375648,</v>
      </c>
    </row>
    <row r="710" spans="3:4">
      <c r="C710" t="s">
        <v>2832</v>
      </c>
      <c r="D710" t="str">
        <f t="shared" si="12"/>
        <v>KI7500300253,</v>
      </c>
    </row>
    <row r="711" spans="3:4">
      <c r="C711" t="s">
        <v>2833</v>
      </c>
      <c r="D711" t="str">
        <f t="shared" si="12"/>
        <v>KI7500695048,</v>
      </c>
    </row>
    <row r="712" spans="3:4">
      <c r="C712" t="s">
        <v>2834</v>
      </c>
      <c r="D712" t="str">
        <f t="shared" si="12"/>
        <v>KI7508689191,</v>
      </c>
    </row>
    <row r="713" spans="3:4">
      <c r="C713" t="s">
        <v>2835</v>
      </c>
      <c r="D713" t="str">
        <f t="shared" si="12"/>
        <v>LE7501236409,</v>
      </c>
    </row>
    <row r="714" spans="3:4">
      <c r="C714" t="s">
        <v>2836</v>
      </c>
      <c r="D714" t="str">
        <f t="shared" si="12"/>
        <v>LE7508475414,</v>
      </c>
    </row>
    <row r="715" spans="3:4">
      <c r="C715" t="s">
        <v>2837</v>
      </c>
      <c r="D715" t="str">
        <f t="shared" si="12"/>
        <v>PW7513551258,</v>
      </c>
    </row>
    <row r="716" spans="3:4">
      <c r="C716" t="s">
        <v>2838</v>
      </c>
      <c r="D716" t="str">
        <f t="shared" si="12"/>
        <v>SA7514141411,</v>
      </c>
    </row>
    <row r="717" spans="3:4">
      <c r="C717" t="s">
        <v>2839</v>
      </c>
      <c r="D717" t="str">
        <f t="shared" si="12"/>
        <v>FS7512064611,</v>
      </c>
    </row>
    <row r="718" spans="3:4">
      <c r="C718" t="s">
        <v>2840</v>
      </c>
      <c r="D718" t="str">
        <f t="shared" si="12"/>
        <v>FS7512065891,</v>
      </c>
    </row>
    <row r="719" spans="3:4">
      <c r="C719" t="s">
        <v>2841</v>
      </c>
      <c r="D719" t="str">
        <f t="shared" si="12"/>
        <v>FS7512067986,</v>
      </c>
    </row>
    <row r="720" spans="3:4">
      <c r="C720" t="s">
        <v>2842</v>
      </c>
      <c r="D720" t="str">
        <f t="shared" si="12"/>
        <v>FS7512075524,</v>
      </c>
    </row>
    <row r="721" spans="3:4">
      <c r="C721" t="s">
        <v>2843</v>
      </c>
      <c r="D721" t="str">
        <f t="shared" si="12"/>
        <v>FS7512076817,</v>
      </c>
    </row>
    <row r="722" spans="3:4">
      <c r="C722" t="s">
        <v>2844</v>
      </c>
      <c r="D722" t="str">
        <f t="shared" si="12"/>
        <v>FS7512077955,</v>
      </c>
    </row>
    <row r="723" spans="3:4">
      <c r="C723" t="s">
        <v>2845</v>
      </c>
      <c r="D723" t="str">
        <f t="shared" si="12"/>
        <v>FS7512081153,</v>
      </c>
    </row>
    <row r="724" spans="3:4">
      <c r="C724" t="s">
        <v>2846</v>
      </c>
      <c r="D724" t="str">
        <f t="shared" si="12"/>
        <v>FS7512081625,</v>
      </c>
    </row>
    <row r="725" spans="3:4">
      <c r="C725" t="s">
        <v>2847</v>
      </c>
      <c r="D725" t="str">
        <f t="shared" si="12"/>
        <v>FS7512084533,</v>
      </c>
    </row>
    <row r="726" spans="3:4">
      <c r="C726" t="s">
        <v>2848</v>
      </c>
      <c r="D726" t="str">
        <f t="shared" si="12"/>
        <v>ID7512517957,</v>
      </c>
    </row>
    <row r="727" spans="3:4">
      <c r="C727" t="s">
        <v>2849</v>
      </c>
      <c r="D727" t="str">
        <f t="shared" si="12"/>
        <v>KI7508637525,</v>
      </c>
    </row>
    <row r="728" spans="3:4">
      <c r="C728" t="s">
        <v>2850</v>
      </c>
      <c r="D728" t="str">
        <f t="shared" si="12"/>
        <v>KI7508656558,</v>
      </c>
    </row>
    <row r="729" spans="3:4">
      <c r="C729" t="s">
        <v>2851</v>
      </c>
      <c r="D729" t="str">
        <f t="shared" si="12"/>
        <v>KI7508689217,</v>
      </c>
    </row>
    <row r="730" spans="3:4">
      <c r="C730" t="s">
        <v>2852</v>
      </c>
      <c r="D730" t="str">
        <f t="shared" si="12"/>
        <v>KI7508690638,</v>
      </c>
    </row>
    <row r="731" spans="3:4">
      <c r="C731" t="s">
        <v>2853</v>
      </c>
      <c r="D731" t="str">
        <f t="shared" si="12"/>
        <v>KI7508710926,</v>
      </c>
    </row>
    <row r="732" spans="3:4">
      <c r="C732" t="s">
        <v>2854</v>
      </c>
      <c r="D732" t="str">
        <f t="shared" si="12"/>
        <v>KI7508714582,</v>
      </c>
    </row>
    <row r="733" spans="3:4">
      <c r="C733" t="s">
        <v>2855</v>
      </c>
      <c r="D733" t="str">
        <f t="shared" si="12"/>
        <v>RN9010906701,</v>
      </c>
    </row>
    <row r="734" spans="3:4">
      <c r="C734" t="s">
        <v>2856</v>
      </c>
      <c r="D734" t="str">
        <f t="shared" si="12"/>
        <v>BL7507541715,</v>
      </c>
    </row>
    <row r="735" spans="3:4">
      <c r="C735" t="s">
        <v>2857</v>
      </c>
      <c r="D735" t="str">
        <f t="shared" ref="D735:D798" si="13">""&amp;C735&amp;","</f>
        <v>FS7512073095,</v>
      </c>
    </row>
    <row r="736" spans="3:4">
      <c r="C736" t="s">
        <v>2858</v>
      </c>
      <c r="D736" t="str">
        <f t="shared" si="13"/>
        <v>FS7512374923,</v>
      </c>
    </row>
    <row r="737" spans="3:4">
      <c r="C737" t="s">
        <v>2859</v>
      </c>
      <c r="D737" t="str">
        <f t="shared" si="13"/>
        <v>ID7512527877,</v>
      </c>
    </row>
    <row r="738" spans="3:4">
      <c r="C738" t="s">
        <v>2860</v>
      </c>
      <c r="D738" t="str">
        <f t="shared" si="13"/>
        <v>KI7508711196,</v>
      </c>
    </row>
    <row r="739" spans="3:4">
      <c r="C739" t="s">
        <v>2861</v>
      </c>
      <c r="D739" t="str">
        <f t="shared" si="13"/>
        <v>KI7508724142,</v>
      </c>
    </row>
    <row r="740" spans="3:4">
      <c r="C740" t="s">
        <v>2862</v>
      </c>
      <c r="D740" t="str">
        <f t="shared" si="13"/>
        <v>AM7513835084,</v>
      </c>
    </row>
    <row r="741" spans="3:4">
      <c r="C741" t="s">
        <v>2863</v>
      </c>
      <c r="D741" t="str">
        <f t="shared" si="13"/>
        <v>FS7512057687,</v>
      </c>
    </row>
    <row r="742" spans="3:4">
      <c r="C742" t="s">
        <v>2864</v>
      </c>
      <c r="D742" t="str">
        <f t="shared" si="13"/>
        <v>FS7512064984,</v>
      </c>
    </row>
    <row r="743" spans="3:4">
      <c r="C743" t="s">
        <v>2865</v>
      </c>
      <c r="D743" t="str">
        <f t="shared" si="13"/>
        <v>FS7512081603,</v>
      </c>
    </row>
    <row r="744" spans="3:4">
      <c r="C744" t="s">
        <v>2866</v>
      </c>
      <c r="D744" t="str">
        <f t="shared" si="13"/>
        <v>JR9011800081,</v>
      </c>
    </row>
    <row r="745" spans="3:4">
      <c r="C745" t="s">
        <v>2867</v>
      </c>
      <c r="D745" t="str">
        <f t="shared" si="13"/>
        <v>KI7500698046,</v>
      </c>
    </row>
    <row r="746" spans="3:4">
      <c r="C746" t="s">
        <v>2868</v>
      </c>
      <c r="D746" t="str">
        <f t="shared" si="13"/>
        <v>KI7508604958,</v>
      </c>
    </row>
    <row r="747" spans="3:4">
      <c r="C747" t="s">
        <v>2869</v>
      </c>
      <c r="D747" t="str">
        <f t="shared" si="13"/>
        <v>KI7508637489,</v>
      </c>
    </row>
    <row r="748" spans="3:4">
      <c r="C748" t="s">
        <v>2870</v>
      </c>
      <c r="D748" t="str">
        <f t="shared" si="13"/>
        <v>KI7508638693,</v>
      </c>
    </row>
    <row r="749" spans="3:4">
      <c r="C749" t="s">
        <v>2871</v>
      </c>
      <c r="D749" t="str">
        <f t="shared" si="13"/>
        <v>KI7508643641,</v>
      </c>
    </row>
    <row r="750" spans="3:4">
      <c r="C750" t="s">
        <v>2872</v>
      </c>
      <c r="D750" t="str">
        <f t="shared" si="13"/>
        <v>KI7508680204,</v>
      </c>
    </row>
    <row r="751" spans="3:4">
      <c r="C751" t="s">
        <v>2873</v>
      </c>
      <c r="D751" t="str">
        <f t="shared" si="13"/>
        <v>KI7508684800,</v>
      </c>
    </row>
    <row r="752" spans="3:4">
      <c r="C752" t="s">
        <v>2874</v>
      </c>
      <c r="D752" t="str">
        <f t="shared" si="13"/>
        <v>KI7508693931,</v>
      </c>
    </row>
    <row r="753" spans="3:4">
      <c r="C753" t="s">
        <v>2875</v>
      </c>
      <c r="D753" t="str">
        <f t="shared" si="13"/>
        <v>KI7508721556,</v>
      </c>
    </row>
    <row r="754" spans="3:4">
      <c r="C754" t="s">
        <v>2876</v>
      </c>
      <c r="D754" t="str">
        <f t="shared" si="13"/>
        <v>LE7508434433,</v>
      </c>
    </row>
    <row r="755" spans="3:4">
      <c r="C755" t="s">
        <v>2877</v>
      </c>
      <c r="D755" t="str">
        <f t="shared" si="13"/>
        <v>LE7508441933,</v>
      </c>
    </row>
    <row r="756" spans="3:4">
      <c r="C756" t="s">
        <v>2878</v>
      </c>
      <c r="D756" t="str">
        <f t="shared" si="13"/>
        <v>LE7508446726,</v>
      </c>
    </row>
    <row r="757" spans="3:4">
      <c r="C757" t="s">
        <v>2879</v>
      </c>
      <c r="D757" t="str">
        <f t="shared" si="13"/>
        <v>LE9011800096,</v>
      </c>
    </row>
    <row r="758" spans="3:4">
      <c r="C758" t="s">
        <v>2880</v>
      </c>
      <c r="D758" t="str">
        <f t="shared" si="13"/>
        <v>FS7512072297,</v>
      </c>
    </row>
    <row r="759" spans="3:4">
      <c r="C759" t="s">
        <v>2881</v>
      </c>
      <c r="D759" t="str">
        <f t="shared" si="13"/>
        <v>FS7512088292,</v>
      </c>
    </row>
    <row r="760" spans="3:4">
      <c r="C760" t="s">
        <v>2882</v>
      </c>
      <c r="D760" t="str">
        <f t="shared" si="13"/>
        <v>KI7508657599,</v>
      </c>
    </row>
    <row r="761" spans="3:4">
      <c r="C761" t="s">
        <v>2883</v>
      </c>
      <c r="D761" t="str">
        <f t="shared" si="13"/>
        <v>LE0060884903,</v>
      </c>
    </row>
    <row r="762" spans="3:4">
      <c r="C762" t="s">
        <v>2884</v>
      </c>
      <c r="D762" t="str">
        <f t="shared" si="13"/>
        <v>LE7501236213,</v>
      </c>
    </row>
    <row r="763" spans="3:4">
      <c r="C763" t="s">
        <v>2885</v>
      </c>
      <c r="D763" t="str">
        <f t="shared" si="13"/>
        <v>LE7508437554,</v>
      </c>
    </row>
    <row r="764" spans="3:4">
      <c r="C764" t="s">
        <v>2886</v>
      </c>
      <c r="D764" t="str">
        <f t="shared" si="13"/>
        <v>MN7513084722,</v>
      </c>
    </row>
    <row r="765" spans="3:4">
      <c r="C765" t="s">
        <v>2887</v>
      </c>
      <c r="D765" t="str">
        <f t="shared" si="13"/>
        <v>MX7512744758,</v>
      </c>
    </row>
    <row r="766" spans="3:4">
      <c r="C766" t="s">
        <v>2888</v>
      </c>
      <c r="D766" t="str">
        <f t="shared" si="13"/>
        <v>PD9011793425,</v>
      </c>
    </row>
    <row r="767" spans="3:4">
      <c r="C767" t="s">
        <v>2889</v>
      </c>
      <c r="D767" t="str">
        <f t="shared" si="13"/>
        <v>SA7514141254,</v>
      </c>
    </row>
    <row r="768" spans="3:4">
      <c r="C768" t="s">
        <v>2094</v>
      </c>
      <c r="D768" t="str">
        <f t="shared" si="13"/>
        <v>PW7513556273,</v>
      </c>
    </row>
    <row r="769" spans="3:4">
      <c r="C769" t="s">
        <v>2890</v>
      </c>
      <c r="D769" t="str">
        <f t="shared" si="13"/>
        <v>ID9012064964,</v>
      </c>
    </row>
    <row r="770" spans="3:4">
      <c r="C770" t="s">
        <v>2891</v>
      </c>
      <c r="D770" t="str">
        <f t="shared" si="13"/>
        <v>CC7503198145,</v>
      </c>
    </row>
    <row r="771" spans="3:4">
      <c r="C771" t="s">
        <v>2892</v>
      </c>
      <c r="D771" t="str">
        <f t="shared" si="13"/>
        <v>LE7510102005,</v>
      </c>
    </row>
    <row r="772" spans="3:4">
      <c r="C772" t="s">
        <v>2893</v>
      </c>
      <c r="D772" t="str">
        <f t="shared" si="13"/>
        <v>TM7513952357,</v>
      </c>
    </row>
    <row r="773" spans="3:4">
      <c r="C773" t="s">
        <v>2894</v>
      </c>
      <c r="D773" t="str">
        <f t="shared" si="13"/>
        <v>BA7507941840,</v>
      </c>
    </row>
    <row r="774" spans="3:4">
      <c r="C774" t="s">
        <v>2895</v>
      </c>
      <c r="D774" t="str">
        <f t="shared" si="13"/>
        <v>FS7512376350,</v>
      </c>
    </row>
    <row r="775" spans="3:4">
      <c r="C775" t="s">
        <v>2896</v>
      </c>
      <c r="D775" t="str">
        <f t="shared" si="13"/>
        <v>KI9011923287,</v>
      </c>
    </row>
    <row r="776" spans="3:4">
      <c r="C776" t="s">
        <v>2897</v>
      </c>
      <c r="D776" t="str">
        <f t="shared" si="13"/>
        <v>LE0060938660,</v>
      </c>
    </row>
    <row r="777" spans="3:4">
      <c r="C777" t="s">
        <v>2898</v>
      </c>
      <c r="D777" t="str">
        <f t="shared" si="13"/>
        <v>LE7508430873,</v>
      </c>
    </row>
    <row r="778" spans="3:4">
      <c r="C778" t="s">
        <v>2899</v>
      </c>
      <c r="D778" t="str">
        <f t="shared" si="13"/>
        <v>LE7508458774,</v>
      </c>
    </row>
    <row r="779" spans="3:4">
      <c r="C779" t="s">
        <v>2900</v>
      </c>
      <c r="D779" t="str">
        <f t="shared" si="13"/>
        <v>MN7513089782,</v>
      </c>
    </row>
    <row r="780" spans="3:4">
      <c r="C780" t="s">
        <v>2901</v>
      </c>
      <c r="D780" t="str">
        <f t="shared" si="13"/>
        <v>SA7514077483,</v>
      </c>
    </row>
    <row r="781" spans="3:4">
      <c r="C781" t="s">
        <v>2902</v>
      </c>
      <c r="D781" t="str">
        <f t="shared" si="13"/>
        <v>SA7514145167,</v>
      </c>
    </row>
    <row r="782" spans="3:4">
      <c r="C782" t="s">
        <v>2903</v>
      </c>
      <c r="D782" t="str">
        <f t="shared" si="13"/>
        <v>SA7514148281,</v>
      </c>
    </row>
    <row r="783" spans="3:4">
      <c r="C783" t="s">
        <v>2904</v>
      </c>
      <c r="D783" t="str">
        <f t="shared" si="13"/>
        <v>FS7512081998,</v>
      </c>
    </row>
    <row r="784" spans="3:4">
      <c r="C784" t="s">
        <v>2905</v>
      </c>
      <c r="D784" t="str">
        <f t="shared" si="13"/>
        <v>FS7512151507,</v>
      </c>
    </row>
    <row r="785" spans="3:4">
      <c r="C785" t="s">
        <v>2906</v>
      </c>
      <c r="D785" t="str">
        <f t="shared" si="13"/>
        <v>FS7512372891,</v>
      </c>
    </row>
    <row r="786" spans="3:4">
      <c r="C786" t="s">
        <v>2907</v>
      </c>
      <c r="D786" t="str">
        <f t="shared" si="13"/>
        <v>KI7508656570,</v>
      </c>
    </row>
    <row r="787" spans="3:4">
      <c r="C787" t="s">
        <v>2908</v>
      </c>
      <c r="D787" t="str">
        <f t="shared" si="13"/>
        <v>KI7508870105,</v>
      </c>
    </row>
    <row r="788" spans="3:4">
      <c r="C788" t="s">
        <v>2909</v>
      </c>
      <c r="D788" t="str">
        <f t="shared" si="13"/>
        <v>KI7508878763,</v>
      </c>
    </row>
    <row r="789" spans="3:4">
      <c r="C789" t="s">
        <v>2910</v>
      </c>
      <c r="D789" t="str">
        <f t="shared" si="13"/>
        <v>LE7510094697,</v>
      </c>
    </row>
    <row r="790" spans="3:4">
      <c r="C790" t="s">
        <v>2911</v>
      </c>
      <c r="D790" t="str">
        <f t="shared" si="13"/>
        <v>LE7510126095,</v>
      </c>
    </row>
    <row r="791" spans="3:4">
      <c r="C791" t="s">
        <v>2912</v>
      </c>
      <c r="D791" t="str">
        <f t="shared" si="13"/>
        <v>LE9012053244,</v>
      </c>
    </row>
    <row r="792" spans="3:4">
      <c r="C792" t="s">
        <v>2913</v>
      </c>
      <c r="D792" t="str">
        <f t="shared" si="13"/>
        <v>MN7513082943,</v>
      </c>
    </row>
    <row r="793" spans="3:4">
      <c r="C793" t="s">
        <v>2914</v>
      </c>
      <c r="D793" t="str">
        <f t="shared" si="13"/>
        <v>OK7514466882,</v>
      </c>
    </row>
    <row r="794" spans="3:4">
      <c r="C794" t="s">
        <v>2915</v>
      </c>
      <c r="D794" t="str">
        <f t="shared" si="13"/>
        <v>VR7503500236,</v>
      </c>
    </row>
    <row r="795" spans="3:4">
      <c r="C795" t="s">
        <v>2916</v>
      </c>
      <c r="D795" t="str">
        <f t="shared" si="13"/>
        <v>BW7513893000,</v>
      </c>
    </row>
    <row r="796" spans="3:4">
      <c r="C796" t="s">
        <v>2917</v>
      </c>
      <c r="D796" t="str">
        <f t="shared" si="13"/>
        <v>FS7512133166,</v>
      </c>
    </row>
    <row r="797" spans="3:4">
      <c r="C797" t="s">
        <v>2918</v>
      </c>
      <c r="D797" t="str">
        <f t="shared" si="13"/>
        <v>LE7510112994,</v>
      </c>
    </row>
    <row r="798" spans="3:4">
      <c r="C798" t="s">
        <v>2919</v>
      </c>
      <c r="D798" t="str">
        <f t="shared" si="13"/>
        <v>SA7514151111,</v>
      </c>
    </row>
    <row r="799" spans="3:4">
      <c r="C799" t="s">
        <v>2920</v>
      </c>
      <c r="D799" t="str">
        <f t="shared" ref="D799:D862" si="14">""&amp;C799&amp;","</f>
        <v>SP7514184394,</v>
      </c>
    </row>
    <row r="800" spans="3:4">
      <c r="C800" t="s">
        <v>2921</v>
      </c>
      <c r="D800" t="str">
        <f t="shared" si="14"/>
        <v>AM7513837907,</v>
      </c>
    </row>
    <row r="801" spans="3:4">
      <c r="C801" t="s">
        <v>2922</v>
      </c>
      <c r="D801" t="str">
        <f t="shared" si="14"/>
        <v>DG9011769928,</v>
      </c>
    </row>
    <row r="802" spans="3:4">
      <c r="C802" t="s">
        <v>2923</v>
      </c>
      <c r="D802" t="str">
        <f t="shared" si="14"/>
        <v>DP7508559264,</v>
      </c>
    </row>
    <row r="803" spans="3:4">
      <c r="C803" t="s">
        <v>2924</v>
      </c>
      <c r="D803" t="str">
        <f t="shared" si="14"/>
        <v>FS7512383381,</v>
      </c>
    </row>
    <row r="804" spans="3:4">
      <c r="C804" t="s">
        <v>2925</v>
      </c>
      <c r="D804" t="str">
        <f t="shared" si="14"/>
        <v>HD7514716614,</v>
      </c>
    </row>
    <row r="805" spans="3:4">
      <c r="C805" t="s">
        <v>2926</v>
      </c>
      <c r="D805" t="str">
        <f t="shared" si="14"/>
        <v>KI7508849684,</v>
      </c>
    </row>
    <row r="806" spans="3:4">
      <c r="C806" t="s">
        <v>2927</v>
      </c>
      <c r="D806" t="str">
        <f t="shared" si="14"/>
        <v>KI7508896706,</v>
      </c>
    </row>
    <row r="807" spans="3:4">
      <c r="C807" t="s">
        <v>2928</v>
      </c>
      <c r="D807" t="str">
        <f t="shared" si="14"/>
        <v>KI7508897002,</v>
      </c>
    </row>
    <row r="808" spans="3:4">
      <c r="C808" t="s">
        <v>2929</v>
      </c>
      <c r="D808" t="str">
        <f t="shared" si="14"/>
        <v>KI9011033078,</v>
      </c>
    </row>
    <row r="809" spans="3:4">
      <c r="C809" t="s">
        <v>2930</v>
      </c>
      <c r="D809" t="str">
        <f t="shared" si="14"/>
        <v>LE0060897549,</v>
      </c>
    </row>
    <row r="810" spans="3:4">
      <c r="C810" t="s">
        <v>2931</v>
      </c>
      <c r="D810" t="str">
        <f t="shared" si="14"/>
        <v>LE7508486427,</v>
      </c>
    </row>
    <row r="811" spans="3:4">
      <c r="C811" t="s">
        <v>2932</v>
      </c>
      <c r="D811" t="str">
        <f t="shared" si="14"/>
        <v>LE7508493273,</v>
      </c>
    </row>
    <row r="812" spans="3:4">
      <c r="C812" t="s">
        <v>2933</v>
      </c>
      <c r="D812" t="str">
        <f t="shared" si="14"/>
        <v>LE7508509799,</v>
      </c>
    </row>
    <row r="813" spans="3:4">
      <c r="C813" t="s">
        <v>2934</v>
      </c>
      <c r="D813" t="str">
        <f t="shared" si="14"/>
        <v>LE7510111381,</v>
      </c>
    </row>
    <row r="814" spans="3:4">
      <c r="C814" t="s">
        <v>2935</v>
      </c>
      <c r="D814" t="str">
        <f t="shared" si="14"/>
        <v>UE7503405757,</v>
      </c>
    </row>
    <row r="815" spans="3:4">
      <c r="C815" t="s">
        <v>2936</v>
      </c>
      <c r="D815" t="str">
        <f t="shared" si="14"/>
        <v>AM7513840587,</v>
      </c>
    </row>
    <row r="816" spans="3:4">
      <c r="C816" t="s">
        <v>2937</v>
      </c>
      <c r="D816" t="str">
        <f t="shared" si="14"/>
        <v>FS7512151937,</v>
      </c>
    </row>
    <row r="817" spans="3:4">
      <c r="C817" t="s">
        <v>2938</v>
      </c>
      <c r="D817" t="str">
        <f t="shared" si="14"/>
        <v>ID7512538780,</v>
      </c>
    </row>
    <row r="818" spans="3:4">
      <c r="C818" t="s">
        <v>2939</v>
      </c>
      <c r="D818" t="str">
        <f t="shared" si="14"/>
        <v>KA7514320891,</v>
      </c>
    </row>
    <row r="819" spans="3:4">
      <c r="C819" t="s">
        <v>2940</v>
      </c>
      <c r="D819" t="str">
        <f t="shared" si="14"/>
        <v>KI7508590613,</v>
      </c>
    </row>
    <row r="820" spans="3:4">
      <c r="C820" t="s">
        <v>2941</v>
      </c>
      <c r="D820" t="str">
        <f t="shared" si="14"/>
        <v>KI7508847751,</v>
      </c>
    </row>
    <row r="821" spans="3:4">
      <c r="C821" t="s">
        <v>2942</v>
      </c>
      <c r="D821" t="str">
        <f t="shared" si="14"/>
        <v>KI7508878548,</v>
      </c>
    </row>
    <row r="822" spans="3:4">
      <c r="C822" t="s">
        <v>2943</v>
      </c>
      <c r="D822" t="str">
        <f t="shared" si="14"/>
        <v>KI7508882845,</v>
      </c>
    </row>
    <row r="823" spans="3:4">
      <c r="C823" t="s">
        <v>2944</v>
      </c>
      <c r="D823" t="str">
        <f t="shared" si="14"/>
        <v>LE7508507273,</v>
      </c>
    </row>
    <row r="824" spans="3:4">
      <c r="C824" t="s">
        <v>2945</v>
      </c>
      <c r="D824" t="str">
        <f t="shared" si="14"/>
        <v>PW7513556442,</v>
      </c>
    </row>
    <row r="825" spans="3:4">
      <c r="C825" t="s">
        <v>2946</v>
      </c>
      <c r="D825" t="str">
        <f t="shared" si="14"/>
        <v>SA7514144153,</v>
      </c>
    </row>
    <row r="826" spans="3:4">
      <c r="C826" t="s">
        <v>2947</v>
      </c>
      <c r="D826" t="str">
        <f t="shared" si="14"/>
        <v>FS7512161540,</v>
      </c>
    </row>
    <row r="827" spans="3:4">
      <c r="C827" t="s">
        <v>2948</v>
      </c>
      <c r="D827" t="str">
        <f t="shared" si="14"/>
        <v>FS7512373159,</v>
      </c>
    </row>
    <row r="828" spans="3:4">
      <c r="C828" t="s">
        <v>2949</v>
      </c>
      <c r="D828" t="str">
        <f t="shared" si="14"/>
        <v>KI7500302860,</v>
      </c>
    </row>
    <row r="829" spans="3:4">
      <c r="C829" t="s">
        <v>2950</v>
      </c>
      <c r="D829" t="str">
        <f t="shared" si="14"/>
        <v>KI7500311437,</v>
      </c>
    </row>
    <row r="830" spans="3:4">
      <c r="C830" t="s">
        <v>2951</v>
      </c>
      <c r="D830" t="str">
        <f t="shared" si="14"/>
        <v>KI7508775337,</v>
      </c>
    </row>
    <row r="831" spans="3:4">
      <c r="C831" t="s">
        <v>2952</v>
      </c>
      <c r="D831" t="str">
        <f t="shared" si="14"/>
        <v>KI7508779244,</v>
      </c>
    </row>
    <row r="832" spans="3:4">
      <c r="C832" t="s">
        <v>2953</v>
      </c>
      <c r="D832" t="str">
        <f t="shared" si="14"/>
        <v>KI7508823395,</v>
      </c>
    </row>
    <row r="833" spans="3:4">
      <c r="C833" t="s">
        <v>2954</v>
      </c>
      <c r="D833" t="str">
        <f t="shared" si="14"/>
        <v>KI7508878748,</v>
      </c>
    </row>
    <row r="834" spans="3:4">
      <c r="C834" t="s">
        <v>2955</v>
      </c>
      <c r="D834" t="str">
        <f t="shared" si="14"/>
        <v>LE7508494730,</v>
      </c>
    </row>
    <row r="835" spans="3:4">
      <c r="C835" t="s">
        <v>2956</v>
      </c>
      <c r="D835" t="str">
        <f t="shared" si="14"/>
        <v>LE7508535350,</v>
      </c>
    </row>
    <row r="836" spans="3:4">
      <c r="C836" t="s">
        <v>2957</v>
      </c>
      <c r="D836" t="str">
        <f t="shared" si="14"/>
        <v>OK7514367936,</v>
      </c>
    </row>
    <row r="837" spans="3:4">
      <c r="C837" t="s">
        <v>2958</v>
      </c>
      <c r="D837" t="str">
        <f t="shared" si="14"/>
        <v>SL7507527265,</v>
      </c>
    </row>
    <row r="838" spans="3:4">
      <c r="C838" t="s">
        <v>2959</v>
      </c>
      <c r="D838" t="str">
        <f t="shared" si="14"/>
        <v>FS7512084013,</v>
      </c>
    </row>
    <row r="839" spans="3:4">
      <c r="C839" t="s">
        <v>2960</v>
      </c>
      <c r="D839" t="str">
        <f t="shared" si="14"/>
        <v>FS7512114081,</v>
      </c>
    </row>
    <row r="840" spans="3:4">
      <c r="C840" t="s">
        <v>2961</v>
      </c>
      <c r="D840" t="str">
        <f t="shared" si="14"/>
        <v>FS7512139775,</v>
      </c>
    </row>
    <row r="841" spans="3:4">
      <c r="C841" t="s">
        <v>2962</v>
      </c>
      <c r="D841" t="str">
        <f t="shared" si="14"/>
        <v>FS7512153015,</v>
      </c>
    </row>
    <row r="842" spans="3:4">
      <c r="C842" t="s">
        <v>2963</v>
      </c>
      <c r="D842" t="str">
        <f t="shared" si="14"/>
        <v>FS7512153366,</v>
      </c>
    </row>
    <row r="843" spans="3:4">
      <c r="C843" t="s">
        <v>2964</v>
      </c>
      <c r="D843" t="str">
        <f t="shared" si="14"/>
        <v>FS7512380675,</v>
      </c>
    </row>
    <row r="844" spans="3:4">
      <c r="C844" t="s">
        <v>2965</v>
      </c>
      <c r="D844" t="str">
        <f t="shared" si="14"/>
        <v>FS7512381064,</v>
      </c>
    </row>
    <row r="845" spans="3:4">
      <c r="C845" t="s">
        <v>2966</v>
      </c>
      <c r="D845" t="str">
        <f t="shared" si="14"/>
        <v>FS7512381170,</v>
      </c>
    </row>
    <row r="846" spans="3:4">
      <c r="C846" t="s">
        <v>2967</v>
      </c>
      <c r="D846" t="str">
        <f t="shared" si="14"/>
        <v>KI7508712867,</v>
      </c>
    </row>
    <row r="847" spans="3:4">
      <c r="C847" t="s">
        <v>2968</v>
      </c>
      <c r="D847" t="str">
        <f t="shared" si="14"/>
        <v>KI7508877749,</v>
      </c>
    </row>
    <row r="848" spans="3:4">
      <c r="C848" t="s">
        <v>2969</v>
      </c>
      <c r="D848" t="str">
        <f t="shared" si="14"/>
        <v>KI7508896750,</v>
      </c>
    </row>
    <row r="849" spans="3:4">
      <c r="C849" t="s">
        <v>2970</v>
      </c>
      <c r="D849" t="str">
        <f t="shared" si="14"/>
        <v>LE7501238773,</v>
      </c>
    </row>
    <row r="850" spans="3:4">
      <c r="C850" t="s">
        <v>2971</v>
      </c>
      <c r="D850" t="str">
        <f t="shared" si="14"/>
        <v>LE7510094761,</v>
      </c>
    </row>
    <row r="851" spans="3:4">
      <c r="C851" t="s">
        <v>2972</v>
      </c>
      <c r="D851" t="str">
        <f t="shared" si="14"/>
        <v>OK7514470654,</v>
      </c>
    </row>
    <row r="852" spans="3:4">
      <c r="C852" t="s">
        <v>2973</v>
      </c>
      <c r="D852" t="str">
        <f t="shared" si="14"/>
        <v>SA7514150593,</v>
      </c>
    </row>
    <row r="853" spans="3:4">
      <c r="C853" t="s">
        <v>2974</v>
      </c>
      <c r="D853" t="str">
        <f t="shared" si="14"/>
        <v>SP7514183013,</v>
      </c>
    </row>
    <row r="854" spans="3:4">
      <c r="C854" t="s">
        <v>2975</v>
      </c>
      <c r="D854" t="str">
        <f t="shared" si="14"/>
        <v>FS7512095015,</v>
      </c>
    </row>
    <row r="855" spans="3:4">
      <c r="C855" t="s">
        <v>2976</v>
      </c>
      <c r="D855" t="str">
        <f t="shared" si="14"/>
        <v>FS7512114133,</v>
      </c>
    </row>
    <row r="856" spans="3:4">
      <c r="C856" t="s">
        <v>2977</v>
      </c>
      <c r="D856" t="str">
        <f t="shared" si="14"/>
        <v>FS7512381560,</v>
      </c>
    </row>
    <row r="857" spans="3:4">
      <c r="C857" t="s">
        <v>2978</v>
      </c>
      <c r="D857" t="str">
        <f t="shared" si="14"/>
        <v>KA7514320787,</v>
      </c>
    </row>
    <row r="858" spans="3:4">
      <c r="C858" t="s">
        <v>2979</v>
      </c>
      <c r="D858" t="str">
        <f t="shared" si="14"/>
        <v>KI7508659498,</v>
      </c>
    </row>
    <row r="859" spans="3:4">
      <c r="C859" t="s">
        <v>2980</v>
      </c>
      <c r="D859" t="str">
        <f t="shared" si="14"/>
        <v>KI7508699010,</v>
      </c>
    </row>
    <row r="860" spans="3:4">
      <c r="C860" t="s">
        <v>2981</v>
      </c>
      <c r="D860" t="str">
        <f t="shared" si="14"/>
        <v>KI7508820043,</v>
      </c>
    </row>
    <row r="861" spans="3:4">
      <c r="C861" t="s">
        <v>2982</v>
      </c>
      <c r="D861" t="str">
        <f t="shared" si="14"/>
        <v>LE7508511770,</v>
      </c>
    </row>
    <row r="862" spans="3:4">
      <c r="C862" t="s">
        <v>2983</v>
      </c>
      <c r="D862" t="str">
        <f t="shared" si="14"/>
        <v>LE7508518608,</v>
      </c>
    </row>
    <row r="863" spans="3:4">
      <c r="C863" t="s">
        <v>2984</v>
      </c>
      <c r="D863" t="str">
        <f t="shared" ref="D863:D926" si="15">""&amp;C863&amp;","</f>
        <v>LE7508523377,</v>
      </c>
    </row>
    <row r="864" spans="3:4">
      <c r="C864" t="s">
        <v>2985</v>
      </c>
      <c r="D864" t="str">
        <f t="shared" si="15"/>
        <v>MN7513087911,</v>
      </c>
    </row>
    <row r="865" spans="3:4">
      <c r="C865" t="s">
        <v>2986</v>
      </c>
      <c r="D865" t="str">
        <f t="shared" si="15"/>
        <v>RW7507302408,</v>
      </c>
    </row>
    <row r="866" spans="3:4">
      <c r="C866" t="s">
        <v>2987</v>
      </c>
      <c r="D866" t="str">
        <f t="shared" si="15"/>
        <v>SL7508018909,</v>
      </c>
    </row>
    <row r="867" spans="3:4">
      <c r="C867" t="s">
        <v>2988</v>
      </c>
      <c r="D867" t="str">
        <f t="shared" si="15"/>
        <v>SP7514180401,</v>
      </c>
    </row>
    <row r="868" spans="3:4">
      <c r="C868" t="s">
        <v>2989</v>
      </c>
      <c r="D868" t="str">
        <f t="shared" si="15"/>
        <v>SP7514186149,</v>
      </c>
    </row>
    <row r="869" spans="3:4">
      <c r="C869" t="s">
        <v>2990</v>
      </c>
      <c r="D869" t="str">
        <f t="shared" si="15"/>
        <v>BA7507939183,</v>
      </c>
    </row>
    <row r="870" spans="3:4">
      <c r="C870" t="s">
        <v>2991</v>
      </c>
      <c r="D870" t="str">
        <f t="shared" si="15"/>
        <v>KI7508773188,</v>
      </c>
    </row>
    <row r="871" spans="3:4">
      <c r="C871" t="s">
        <v>2992</v>
      </c>
      <c r="D871" t="str">
        <f t="shared" si="15"/>
        <v>KI7508841610,</v>
      </c>
    </row>
    <row r="872" spans="3:4">
      <c r="C872" t="s">
        <v>2993</v>
      </c>
      <c r="D872" t="str">
        <f t="shared" si="15"/>
        <v>KI9011032905,</v>
      </c>
    </row>
    <row r="873" spans="3:4">
      <c r="C873" t="s">
        <v>2994</v>
      </c>
      <c r="D873" t="str">
        <f t="shared" si="15"/>
        <v>LE7510093385,</v>
      </c>
    </row>
    <row r="874" spans="3:4">
      <c r="C874" t="s">
        <v>2995</v>
      </c>
      <c r="D874" t="str">
        <f t="shared" si="15"/>
        <v>NW7514321280,</v>
      </c>
    </row>
    <row r="875" spans="3:4">
      <c r="C875" t="s">
        <v>2996</v>
      </c>
      <c r="D875" t="str">
        <f t="shared" si="15"/>
        <v>SA7514141354,</v>
      </c>
    </row>
    <row r="876" spans="3:4">
      <c r="C876" t="s">
        <v>2997</v>
      </c>
      <c r="D876" t="str">
        <f t="shared" si="15"/>
        <v>SA7514147529,</v>
      </c>
    </row>
    <row r="877" spans="3:4">
      <c r="C877" t="s">
        <v>2998</v>
      </c>
      <c r="D877" t="str">
        <f t="shared" si="15"/>
        <v>SP7514211310,</v>
      </c>
    </row>
    <row r="878" spans="3:4">
      <c r="C878" t="s">
        <v>2999</v>
      </c>
      <c r="D878" t="str">
        <f t="shared" si="15"/>
        <v>FS7512123853,</v>
      </c>
    </row>
    <row r="879" spans="3:4">
      <c r="C879" t="s">
        <v>3000</v>
      </c>
      <c r="D879" t="str">
        <f t="shared" si="15"/>
        <v>GW7507925207,</v>
      </c>
    </row>
    <row r="880" spans="3:4">
      <c r="C880" t="s">
        <v>3001</v>
      </c>
      <c r="D880" t="str">
        <f t="shared" si="15"/>
        <v>KI7500314196,</v>
      </c>
    </row>
    <row r="881" spans="3:4">
      <c r="C881" t="s">
        <v>3002</v>
      </c>
      <c r="D881" t="str">
        <f t="shared" si="15"/>
        <v>KI7508808984,</v>
      </c>
    </row>
    <row r="882" spans="3:4">
      <c r="C882" t="s">
        <v>3003</v>
      </c>
      <c r="D882" t="str">
        <f t="shared" si="15"/>
        <v>KI7508845057,</v>
      </c>
    </row>
    <row r="883" spans="3:4">
      <c r="C883" t="s">
        <v>3004</v>
      </c>
      <c r="D883" t="str">
        <f t="shared" si="15"/>
        <v>LE7508505972,</v>
      </c>
    </row>
    <row r="884" spans="3:4">
      <c r="C884" t="s">
        <v>3005</v>
      </c>
      <c r="D884" t="str">
        <f t="shared" si="15"/>
        <v>LE7508512173,</v>
      </c>
    </row>
    <row r="885" spans="3:4">
      <c r="C885" t="s">
        <v>3006</v>
      </c>
      <c r="D885" t="str">
        <f t="shared" si="15"/>
        <v>LE7510105544,</v>
      </c>
    </row>
    <row r="886" spans="3:4">
      <c r="C886" t="s">
        <v>3007</v>
      </c>
      <c r="D886" t="str">
        <f t="shared" si="15"/>
        <v>LY7507588539,</v>
      </c>
    </row>
    <row r="887" spans="3:4">
      <c r="C887" t="s">
        <v>3008</v>
      </c>
      <c r="D887" t="str">
        <f t="shared" si="15"/>
        <v>SL7508018700,</v>
      </c>
    </row>
    <row r="888" spans="3:4">
      <c r="C888" t="s">
        <v>3009</v>
      </c>
      <c r="D888" t="str">
        <f t="shared" si="15"/>
        <v>BA7507941252,</v>
      </c>
    </row>
    <row r="889" spans="3:4">
      <c r="C889" t="s">
        <v>3010</v>
      </c>
      <c r="D889" t="str">
        <f t="shared" si="15"/>
        <v>FS7512142286,</v>
      </c>
    </row>
    <row r="890" spans="3:4">
      <c r="C890" t="s">
        <v>3011</v>
      </c>
      <c r="D890" t="str">
        <f t="shared" si="15"/>
        <v>FS7512145648,</v>
      </c>
    </row>
    <row r="891" spans="3:4">
      <c r="C891" t="s">
        <v>3012</v>
      </c>
      <c r="D891" t="str">
        <f t="shared" si="15"/>
        <v>FS7512362453,</v>
      </c>
    </row>
    <row r="892" spans="3:4">
      <c r="C892" t="s">
        <v>3013</v>
      </c>
      <c r="D892" t="str">
        <f t="shared" si="15"/>
        <v>KA7513711889,</v>
      </c>
    </row>
    <row r="893" spans="3:4">
      <c r="C893" t="s">
        <v>3014</v>
      </c>
      <c r="D893" t="str">
        <f t="shared" si="15"/>
        <v>KI7500687337,</v>
      </c>
    </row>
    <row r="894" spans="3:4">
      <c r="C894" t="s">
        <v>3015</v>
      </c>
      <c r="D894" t="str">
        <f t="shared" si="15"/>
        <v>KI7508819710,</v>
      </c>
    </row>
    <row r="895" spans="3:4">
      <c r="C895" t="s">
        <v>3016</v>
      </c>
      <c r="D895" t="str">
        <f t="shared" si="15"/>
        <v>KI7508874260,</v>
      </c>
    </row>
    <row r="896" spans="3:4">
      <c r="C896" t="s">
        <v>3017</v>
      </c>
      <c r="D896" t="str">
        <f t="shared" si="15"/>
        <v>KI9012036030,</v>
      </c>
    </row>
    <row r="897" spans="3:4">
      <c r="C897" t="s">
        <v>3018</v>
      </c>
      <c r="D897" t="str">
        <f t="shared" si="15"/>
        <v>LE7508488394,</v>
      </c>
    </row>
    <row r="898" spans="3:4">
      <c r="C898" t="s">
        <v>3019</v>
      </c>
      <c r="D898" t="str">
        <f t="shared" si="15"/>
        <v>LE7508529064,</v>
      </c>
    </row>
    <row r="899" spans="3:4">
      <c r="C899" t="s">
        <v>3020</v>
      </c>
      <c r="D899" t="str">
        <f t="shared" si="15"/>
        <v>LE7510107393,</v>
      </c>
    </row>
    <row r="900" spans="3:4">
      <c r="C900" t="s">
        <v>3021</v>
      </c>
      <c r="D900" t="str">
        <f t="shared" si="15"/>
        <v>LE7510128101,</v>
      </c>
    </row>
    <row r="901" spans="3:4">
      <c r="C901" t="s">
        <v>3022</v>
      </c>
      <c r="D901" t="str">
        <f t="shared" si="15"/>
        <v>MX7512759685,</v>
      </c>
    </row>
    <row r="902" spans="3:4">
      <c r="C902" t="s">
        <v>3023</v>
      </c>
      <c r="D902" t="str">
        <f t="shared" si="15"/>
        <v>FS7512099666,</v>
      </c>
    </row>
    <row r="903" spans="3:4">
      <c r="C903" t="s">
        <v>3024</v>
      </c>
      <c r="D903" t="str">
        <f t="shared" si="15"/>
        <v>KA7514321188,</v>
      </c>
    </row>
    <row r="904" spans="3:4">
      <c r="C904" t="s">
        <v>3025</v>
      </c>
      <c r="D904" t="str">
        <f t="shared" si="15"/>
        <v>KI7500686254,</v>
      </c>
    </row>
    <row r="905" spans="3:4">
      <c r="C905" t="s">
        <v>3026</v>
      </c>
      <c r="D905" t="str">
        <f t="shared" si="15"/>
        <v>KI7508815023,</v>
      </c>
    </row>
    <row r="906" spans="3:4">
      <c r="C906" t="s">
        <v>3027</v>
      </c>
      <c r="D906" t="str">
        <f t="shared" si="15"/>
        <v>KI7508844725,</v>
      </c>
    </row>
    <row r="907" spans="3:4">
      <c r="C907" t="s">
        <v>3028</v>
      </c>
      <c r="D907" t="str">
        <f t="shared" si="15"/>
        <v>LE7508459747,</v>
      </c>
    </row>
    <row r="908" spans="3:4">
      <c r="C908" t="s">
        <v>3029</v>
      </c>
      <c r="D908" t="str">
        <f t="shared" si="15"/>
        <v>LE7508504771,</v>
      </c>
    </row>
    <row r="909" spans="3:4">
      <c r="C909" t="s">
        <v>3030</v>
      </c>
      <c r="D909" t="str">
        <f t="shared" si="15"/>
        <v>LE7508511938,</v>
      </c>
    </row>
    <row r="910" spans="3:4">
      <c r="C910" t="s">
        <v>3031</v>
      </c>
      <c r="D910" t="str">
        <f t="shared" si="15"/>
        <v>OK7514467598,</v>
      </c>
    </row>
    <row r="911" spans="3:4">
      <c r="C911" t="s">
        <v>3032</v>
      </c>
      <c r="D911" t="str">
        <f t="shared" si="15"/>
        <v>SA7514143712,</v>
      </c>
    </row>
    <row r="912" spans="3:4">
      <c r="C912" t="s">
        <v>3033</v>
      </c>
      <c r="D912" t="str">
        <f t="shared" si="15"/>
        <v>GW9011923607,</v>
      </c>
    </row>
    <row r="913" spans="3:4">
      <c r="C913" t="s">
        <v>3034</v>
      </c>
      <c r="D913" t="str">
        <f t="shared" si="15"/>
        <v>KI7508787535,</v>
      </c>
    </row>
    <row r="914" spans="3:4">
      <c r="C914" t="s">
        <v>3035</v>
      </c>
      <c r="D914" t="str">
        <f t="shared" si="15"/>
        <v>KI7508815075,</v>
      </c>
    </row>
    <row r="915" spans="3:4">
      <c r="C915" t="s">
        <v>1935</v>
      </c>
      <c r="D915" t="str">
        <f t="shared" si="15"/>
        <v>RN9012031175,</v>
      </c>
    </row>
    <row r="916" spans="3:4">
      <c r="C916" t="s">
        <v>3036</v>
      </c>
      <c r="D916" t="str">
        <f t="shared" si="15"/>
        <v>FS7512370700,</v>
      </c>
    </row>
    <row r="917" spans="3:4">
      <c r="C917" t="s">
        <v>3037</v>
      </c>
      <c r="D917" t="str">
        <f t="shared" si="15"/>
        <v>KI7508826223,</v>
      </c>
    </row>
    <row r="918" spans="3:4">
      <c r="C918" t="s">
        <v>3038</v>
      </c>
      <c r="D918" t="str">
        <f t="shared" si="15"/>
        <v>KI7508830210,</v>
      </c>
    </row>
    <row r="919" spans="3:4">
      <c r="C919" t="s">
        <v>3039</v>
      </c>
      <c r="D919" t="str">
        <f t="shared" si="15"/>
        <v>FS7512098396,</v>
      </c>
    </row>
    <row r="920" spans="3:4">
      <c r="C920" t="s">
        <v>3040</v>
      </c>
      <c r="D920" t="str">
        <f t="shared" si="15"/>
        <v>FS7512104209,</v>
      </c>
    </row>
    <row r="921" spans="3:4">
      <c r="C921" t="s">
        <v>3041</v>
      </c>
      <c r="D921" t="str">
        <f t="shared" si="15"/>
        <v>KI7500304701,</v>
      </c>
    </row>
    <row r="922" spans="3:4">
      <c r="C922" t="s">
        <v>3042</v>
      </c>
      <c r="D922" t="str">
        <f t="shared" si="15"/>
        <v>KI7508759591,</v>
      </c>
    </row>
    <row r="923" spans="3:4">
      <c r="C923" t="s">
        <v>3043</v>
      </c>
      <c r="D923" t="str">
        <f t="shared" si="15"/>
        <v>KI7508775601,</v>
      </c>
    </row>
    <row r="924" spans="3:4">
      <c r="C924" t="s">
        <v>3044</v>
      </c>
      <c r="D924" t="str">
        <f t="shared" si="15"/>
        <v>KI7508781552,</v>
      </c>
    </row>
    <row r="925" spans="3:4">
      <c r="C925" t="s">
        <v>3045</v>
      </c>
      <c r="D925" t="str">
        <f t="shared" si="15"/>
        <v>KI7508788919,</v>
      </c>
    </row>
    <row r="926" spans="3:4">
      <c r="C926" t="s">
        <v>3046</v>
      </c>
      <c r="D926" t="str">
        <f t="shared" si="15"/>
        <v>LE7508448381,</v>
      </c>
    </row>
    <row r="927" spans="3:4">
      <c r="C927" t="s">
        <v>3047</v>
      </c>
      <c r="D927" t="str">
        <f t="shared" ref="D927:D990" si="16">""&amp;C927&amp;","</f>
        <v>LE9012007003,</v>
      </c>
    </row>
    <row r="928" spans="3:4">
      <c r="C928" t="s">
        <v>3048</v>
      </c>
      <c r="D928" t="str">
        <f t="shared" si="16"/>
        <v>AM7513838304,</v>
      </c>
    </row>
    <row r="929" spans="3:4">
      <c r="C929" t="s">
        <v>3049</v>
      </c>
      <c r="D929" t="str">
        <f t="shared" si="16"/>
        <v>ID7512528244,</v>
      </c>
    </row>
    <row r="930" spans="3:4">
      <c r="C930" t="s">
        <v>3050</v>
      </c>
      <c r="D930" t="str">
        <f t="shared" si="16"/>
        <v>KI7508765556,</v>
      </c>
    </row>
    <row r="931" spans="3:4">
      <c r="C931" t="s">
        <v>3051</v>
      </c>
      <c r="D931" t="str">
        <f t="shared" si="16"/>
        <v>KI7508850672,</v>
      </c>
    </row>
    <row r="932" spans="3:4">
      <c r="C932" t="s">
        <v>3052</v>
      </c>
      <c r="D932" t="str">
        <f t="shared" si="16"/>
        <v>KI7508865469,</v>
      </c>
    </row>
    <row r="933" spans="3:4">
      <c r="C933" t="s">
        <v>3053</v>
      </c>
      <c r="D933" t="str">
        <f t="shared" si="16"/>
        <v>LE7508502554,</v>
      </c>
    </row>
    <row r="934" spans="3:4">
      <c r="C934" t="s">
        <v>3054</v>
      </c>
      <c r="D934" t="str">
        <f t="shared" si="16"/>
        <v>MX7512760247,</v>
      </c>
    </row>
    <row r="935" spans="3:4">
      <c r="C935" t="s">
        <v>3055</v>
      </c>
      <c r="D935" t="str">
        <f t="shared" si="16"/>
        <v>MX7512996809,</v>
      </c>
    </row>
    <row r="936" spans="3:4">
      <c r="C936" t="s">
        <v>3056</v>
      </c>
      <c r="D936" t="str">
        <f t="shared" si="16"/>
        <v>SA7514141812,</v>
      </c>
    </row>
    <row r="937" spans="3:4">
      <c r="C937" t="s">
        <v>3057</v>
      </c>
      <c r="D937" t="str">
        <f t="shared" si="16"/>
        <v>SP7514184674,</v>
      </c>
    </row>
    <row r="938" spans="3:4">
      <c r="C938" t="s">
        <v>3058</v>
      </c>
      <c r="D938" t="str">
        <f t="shared" si="16"/>
        <v>ST9011800375,</v>
      </c>
    </row>
    <row r="939" spans="3:4">
      <c r="C939" t="s">
        <v>3059</v>
      </c>
      <c r="D939" t="str">
        <f t="shared" si="16"/>
        <v>LE0060898060,</v>
      </c>
    </row>
    <row r="940" spans="3:4">
      <c r="C940" t="s">
        <v>3060</v>
      </c>
      <c r="D940" t="str">
        <f t="shared" si="16"/>
        <v>LE7508502550,</v>
      </c>
    </row>
    <row r="941" spans="3:4">
      <c r="C941" t="s">
        <v>3061</v>
      </c>
      <c r="D941" t="str">
        <f t="shared" si="16"/>
        <v>SA7514143243,</v>
      </c>
    </row>
    <row r="942" spans="3:4">
      <c r="C942" t="s">
        <v>3062</v>
      </c>
      <c r="D942" t="str">
        <f t="shared" si="16"/>
        <v>TM7513952043,</v>
      </c>
    </row>
    <row r="943" spans="3:4">
      <c r="C943" t="s">
        <v>1624</v>
      </c>
      <c r="D943" t="str">
        <f t="shared" si="16"/>
        <v>FS7512074625,</v>
      </c>
    </row>
    <row r="944" spans="3:4">
      <c r="C944" t="s">
        <v>1216</v>
      </c>
      <c r="D944" t="str">
        <f t="shared" si="16"/>
        <v>FS7512359950,</v>
      </c>
    </row>
    <row r="945" spans="3:4">
      <c r="C945" t="s">
        <v>3063</v>
      </c>
      <c r="D945" t="str">
        <f t="shared" si="16"/>
        <v>KI7508946319,</v>
      </c>
    </row>
    <row r="946" spans="3:4">
      <c r="C946" t="s">
        <v>3064</v>
      </c>
      <c r="D946" t="str">
        <f t="shared" si="16"/>
        <v>KI9012007480,</v>
      </c>
    </row>
    <row r="947" spans="3:4">
      <c r="C947" t="s">
        <v>3065</v>
      </c>
      <c r="D947" t="str">
        <f t="shared" si="16"/>
        <v>KI9012010494,</v>
      </c>
    </row>
    <row r="948" spans="3:4">
      <c r="C948" t="s">
        <v>3066</v>
      </c>
      <c r="D948" t="str">
        <f t="shared" si="16"/>
        <v>KI9012173797,</v>
      </c>
    </row>
    <row r="949" spans="3:4">
      <c r="C949" t="s">
        <v>1506</v>
      </c>
      <c r="D949" t="str">
        <f t="shared" si="16"/>
        <v>LE9012167793,</v>
      </c>
    </row>
    <row r="950" spans="3:4">
      <c r="C950" t="s">
        <v>3067</v>
      </c>
      <c r="D950" t="str">
        <f t="shared" si="16"/>
        <v>JM9011924064,</v>
      </c>
    </row>
    <row r="951" spans="3:4">
      <c r="C951" t="s">
        <v>3068</v>
      </c>
      <c r="D951" t="str">
        <f t="shared" si="16"/>
        <v>LE7508515619,</v>
      </c>
    </row>
    <row r="952" spans="3:4">
      <c r="C952" t="s">
        <v>1262</v>
      </c>
      <c r="D952" t="str">
        <f t="shared" si="16"/>
        <v>FS7511993409,</v>
      </c>
    </row>
    <row r="953" spans="3:4">
      <c r="C953" t="s">
        <v>1663</v>
      </c>
      <c r="D953" t="str">
        <f t="shared" si="16"/>
        <v>FS7512052972,</v>
      </c>
    </row>
    <row r="954" spans="3:4">
      <c r="C954" t="s">
        <v>1700</v>
      </c>
      <c r="D954" t="str">
        <f t="shared" si="16"/>
        <v>ID9012004319,</v>
      </c>
    </row>
    <row r="955" spans="3:4">
      <c r="C955" t="s">
        <v>1703</v>
      </c>
      <c r="D955" t="str">
        <f t="shared" si="16"/>
        <v>JR9011800101,</v>
      </c>
    </row>
    <row r="956" spans="3:4">
      <c r="C956" t="s">
        <v>3069</v>
      </c>
      <c r="D956" t="str">
        <f t="shared" si="16"/>
        <v>KI7508627294,</v>
      </c>
    </row>
    <row r="957" spans="3:4">
      <c r="C957" t="s">
        <v>3070</v>
      </c>
      <c r="D957" t="str">
        <f t="shared" si="16"/>
        <v>KI7508819719,</v>
      </c>
    </row>
    <row r="958" spans="3:4">
      <c r="C958" t="s">
        <v>3071</v>
      </c>
      <c r="D958" t="str">
        <f t="shared" si="16"/>
        <v>KI7508880073,</v>
      </c>
    </row>
    <row r="959" spans="3:4">
      <c r="C959" t="s">
        <v>1840</v>
      </c>
      <c r="D959" t="str">
        <f t="shared" si="16"/>
        <v>KI9012000041,</v>
      </c>
    </row>
    <row r="960" spans="3:4">
      <c r="C960" t="s">
        <v>3072</v>
      </c>
      <c r="D960" t="str">
        <f t="shared" si="16"/>
        <v>KI9012119857,</v>
      </c>
    </row>
    <row r="961" spans="3:4">
      <c r="C961" t="s">
        <v>1684</v>
      </c>
      <c r="D961" t="str">
        <f t="shared" si="16"/>
        <v>KI9012171576,</v>
      </c>
    </row>
    <row r="962" spans="3:4">
      <c r="C962" t="s">
        <v>1694</v>
      </c>
      <c r="D962" t="str">
        <f t="shared" si="16"/>
        <v>KI9012185523,</v>
      </c>
    </row>
    <row r="963" spans="3:4">
      <c r="C963" t="s">
        <v>1669</v>
      </c>
      <c r="D963" t="str">
        <f t="shared" si="16"/>
        <v>KI9012194366,</v>
      </c>
    </row>
    <row r="964" spans="3:4">
      <c r="C964" t="s">
        <v>3073</v>
      </c>
      <c r="D964" t="str">
        <f t="shared" si="16"/>
        <v>LE7508508937,</v>
      </c>
    </row>
    <row r="965" spans="3:4">
      <c r="C965" t="s">
        <v>3074</v>
      </c>
      <c r="D965" t="str">
        <f t="shared" si="16"/>
        <v>LE7508519165,</v>
      </c>
    </row>
    <row r="966" spans="3:4">
      <c r="C966" t="s">
        <v>3075</v>
      </c>
      <c r="D966" t="str">
        <f t="shared" si="16"/>
        <v>LE7508526576,</v>
      </c>
    </row>
    <row r="967" spans="3:4">
      <c r="C967" t="s">
        <v>3076</v>
      </c>
      <c r="D967" t="str">
        <f t="shared" si="16"/>
        <v>LE7510107727,</v>
      </c>
    </row>
    <row r="968" spans="3:4">
      <c r="C968" t="s">
        <v>1609</v>
      </c>
      <c r="D968" t="str">
        <f t="shared" si="16"/>
        <v>LE9012196714,</v>
      </c>
    </row>
    <row r="969" spans="3:4">
      <c r="C969" t="s">
        <v>1882</v>
      </c>
      <c r="D969" t="str">
        <f t="shared" si="16"/>
        <v>LE9012197459,</v>
      </c>
    </row>
    <row r="970" spans="3:4">
      <c r="C970" t="s">
        <v>1854</v>
      </c>
      <c r="D970" t="str">
        <f t="shared" si="16"/>
        <v>LY7507588212,</v>
      </c>
    </row>
    <row r="971" spans="3:4">
      <c r="C971" t="s">
        <v>3077</v>
      </c>
      <c r="D971" t="str">
        <f t="shared" si="16"/>
        <v>MN7513083374,</v>
      </c>
    </row>
    <row r="972" spans="3:4">
      <c r="C972" t="s">
        <v>3078</v>
      </c>
      <c r="D972" t="str">
        <f t="shared" si="16"/>
        <v>RW7507301749,</v>
      </c>
    </row>
    <row r="973" spans="3:4">
      <c r="C973" t="s">
        <v>3079</v>
      </c>
      <c r="D973" t="str">
        <f t="shared" si="16"/>
        <v>SA9012014666,</v>
      </c>
    </row>
    <row r="974" spans="3:4">
      <c r="C974" t="s">
        <v>3080</v>
      </c>
      <c r="D974" t="str">
        <f t="shared" si="16"/>
        <v>SI7504129787,</v>
      </c>
    </row>
    <row r="975" spans="3:4">
      <c r="C975" t="s">
        <v>3081</v>
      </c>
      <c r="D975" t="str">
        <f t="shared" si="16"/>
        <v>SW9012026411,</v>
      </c>
    </row>
    <row r="976" spans="3:4">
      <c r="C976" t="s">
        <v>1676</v>
      </c>
      <c r="D976" t="str">
        <f t="shared" si="16"/>
        <v>FS7512079391,</v>
      </c>
    </row>
    <row r="977" spans="3:4">
      <c r="C977" t="s">
        <v>3082</v>
      </c>
      <c r="D977" t="str">
        <f t="shared" si="16"/>
        <v>FS7512134311,</v>
      </c>
    </row>
    <row r="978" spans="3:4">
      <c r="C978" t="s">
        <v>1889</v>
      </c>
      <c r="D978" t="str">
        <f t="shared" si="16"/>
        <v>FS9012001175,</v>
      </c>
    </row>
    <row r="979" spans="3:4">
      <c r="C979" t="s">
        <v>3083</v>
      </c>
      <c r="D979" t="str">
        <f t="shared" si="16"/>
        <v>ID9012038320,</v>
      </c>
    </row>
    <row r="980" spans="3:4">
      <c r="C980" t="s">
        <v>1445</v>
      </c>
      <c r="D980" t="str">
        <f t="shared" si="16"/>
        <v>KI7500696490,</v>
      </c>
    </row>
    <row r="981" spans="3:4">
      <c r="C981" t="s">
        <v>1883</v>
      </c>
      <c r="D981" t="str">
        <f t="shared" si="16"/>
        <v>KI9012004475,</v>
      </c>
    </row>
    <row r="982" spans="3:4">
      <c r="C982" t="s">
        <v>3084</v>
      </c>
      <c r="D982" t="str">
        <f t="shared" si="16"/>
        <v>KI9012009539,</v>
      </c>
    </row>
    <row r="983" spans="3:4">
      <c r="C983" t="s">
        <v>3085</v>
      </c>
      <c r="D983" t="str">
        <f t="shared" si="16"/>
        <v>KI9012173511,</v>
      </c>
    </row>
    <row r="984" spans="3:4">
      <c r="C984" t="s">
        <v>3086</v>
      </c>
      <c r="D984" t="str">
        <f t="shared" si="16"/>
        <v>KI9012175520,</v>
      </c>
    </row>
    <row r="985" spans="3:4">
      <c r="C985" t="s">
        <v>1636</v>
      </c>
      <c r="D985" t="str">
        <f t="shared" si="16"/>
        <v>KI9012181580,</v>
      </c>
    </row>
    <row r="986" spans="3:4">
      <c r="C986" t="s">
        <v>1843</v>
      </c>
      <c r="D986" t="str">
        <f t="shared" si="16"/>
        <v>KI9012198806,</v>
      </c>
    </row>
    <row r="987" spans="3:4">
      <c r="C987" t="s">
        <v>1647</v>
      </c>
      <c r="D987" t="str">
        <f t="shared" si="16"/>
        <v>LE7508447023,</v>
      </c>
    </row>
    <row r="988" spans="3:4">
      <c r="C988" t="s">
        <v>1607</v>
      </c>
      <c r="D988" t="str">
        <f t="shared" si="16"/>
        <v>LE7508480825,</v>
      </c>
    </row>
    <row r="989" spans="3:4">
      <c r="C989" t="s">
        <v>1864</v>
      </c>
      <c r="D989" t="str">
        <f t="shared" si="16"/>
        <v>LE7508486569,</v>
      </c>
    </row>
    <row r="990" spans="3:4">
      <c r="C990" t="s">
        <v>1856</v>
      </c>
      <c r="D990" t="str">
        <f t="shared" si="16"/>
        <v>LE7508489777,</v>
      </c>
    </row>
    <row r="991" spans="3:4">
      <c r="C991" t="s">
        <v>1898</v>
      </c>
      <c r="D991" t="str">
        <f t="shared" ref="D991:D1054" si="17">""&amp;C991&amp;","</f>
        <v>LE7508494322,</v>
      </c>
    </row>
    <row r="992" spans="3:4">
      <c r="C992" t="s">
        <v>3087</v>
      </c>
      <c r="D992" t="str">
        <f t="shared" si="17"/>
        <v>LE7508499196,</v>
      </c>
    </row>
    <row r="993" spans="3:4">
      <c r="C993" t="s">
        <v>3088</v>
      </c>
      <c r="D993" t="str">
        <f t="shared" si="17"/>
        <v>LE9012004404,</v>
      </c>
    </row>
    <row r="994" spans="3:4">
      <c r="C994" t="s">
        <v>1324</v>
      </c>
      <c r="D994" t="str">
        <f t="shared" si="17"/>
        <v>LE9012141188,</v>
      </c>
    </row>
    <row r="995" spans="3:4">
      <c r="C995" t="s">
        <v>1503</v>
      </c>
      <c r="D995" t="str">
        <f t="shared" si="17"/>
        <v>LE9012178219,</v>
      </c>
    </row>
    <row r="996" spans="3:4">
      <c r="C996" t="s">
        <v>1886</v>
      </c>
      <c r="D996" t="str">
        <f t="shared" si="17"/>
        <v>LE9012179523,</v>
      </c>
    </row>
    <row r="997" spans="3:4">
      <c r="C997" t="s">
        <v>3089</v>
      </c>
      <c r="D997" t="str">
        <f t="shared" si="17"/>
        <v>MX7512756510,</v>
      </c>
    </row>
    <row r="998" spans="3:4">
      <c r="C998" t="s">
        <v>3090</v>
      </c>
      <c r="D998" t="str">
        <f t="shared" si="17"/>
        <v>SW0060293364,</v>
      </c>
    </row>
    <row r="999" spans="3:4">
      <c r="C999" t="s">
        <v>3091</v>
      </c>
      <c r="D999" t="str">
        <f t="shared" si="17"/>
        <v>FS9012031893,</v>
      </c>
    </row>
    <row r="1000" spans="3:4">
      <c r="C1000" t="s">
        <v>1632</v>
      </c>
      <c r="D1000" t="str">
        <f t="shared" si="17"/>
        <v>ID9011564679,</v>
      </c>
    </row>
    <row r="1001" spans="3:4">
      <c r="C1001" t="s">
        <v>1855</v>
      </c>
      <c r="D1001" t="str">
        <f t="shared" si="17"/>
        <v>ID9012189907,</v>
      </c>
    </row>
    <row r="1002" spans="3:4">
      <c r="C1002" t="s">
        <v>1857</v>
      </c>
      <c r="D1002" t="str">
        <f t="shared" si="17"/>
        <v>KA7514318181,</v>
      </c>
    </row>
    <row r="1003" spans="3:4">
      <c r="C1003" t="s">
        <v>1878</v>
      </c>
      <c r="D1003" t="str">
        <f t="shared" si="17"/>
        <v>KI7508733416,</v>
      </c>
    </row>
    <row r="1004" spans="3:4">
      <c r="C1004" t="s">
        <v>3092</v>
      </c>
      <c r="D1004" t="str">
        <f t="shared" si="17"/>
        <v>KI7508744859,</v>
      </c>
    </row>
    <row r="1005" spans="3:4">
      <c r="C1005" t="s">
        <v>3093</v>
      </c>
      <c r="D1005" t="str">
        <f t="shared" si="17"/>
        <v>KI9012017492,</v>
      </c>
    </row>
    <row r="1006" spans="3:4">
      <c r="C1006" t="s">
        <v>1824</v>
      </c>
      <c r="D1006" t="str">
        <f t="shared" si="17"/>
        <v>KI9012197332,</v>
      </c>
    </row>
    <row r="1007" spans="3:4">
      <c r="C1007" t="s">
        <v>1844</v>
      </c>
      <c r="D1007" t="str">
        <f t="shared" si="17"/>
        <v>LE9012178146,</v>
      </c>
    </row>
    <row r="1008" spans="3:4">
      <c r="C1008" t="s">
        <v>1872</v>
      </c>
      <c r="D1008" t="str">
        <f t="shared" si="17"/>
        <v>LE9012192838,</v>
      </c>
    </row>
    <row r="1009" spans="3:4">
      <c r="C1009" t="s">
        <v>1692</v>
      </c>
      <c r="D1009" t="str">
        <f t="shared" si="17"/>
        <v>MC7503297718,</v>
      </c>
    </row>
    <row r="1010" spans="3:4">
      <c r="C1010" t="s">
        <v>3094</v>
      </c>
      <c r="D1010" t="str">
        <f t="shared" si="17"/>
        <v>SP9012013265,</v>
      </c>
    </row>
    <row r="1011" spans="3:4">
      <c r="C1011" t="s">
        <v>1623</v>
      </c>
      <c r="D1011" t="str">
        <f t="shared" si="17"/>
        <v>VR9012011287,</v>
      </c>
    </row>
    <row r="1012" spans="3:4">
      <c r="C1012" t="s">
        <v>3095</v>
      </c>
      <c r="D1012" t="str">
        <f t="shared" si="17"/>
        <v>FS7512015572,</v>
      </c>
    </row>
    <row r="1013" spans="3:4">
      <c r="C1013" t="s">
        <v>1849</v>
      </c>
      <c r="D1013" t="str">
        <f t="shared" si="17"/>
        <v>FS7512095414,</v>
      </c>
    </row>
    <row r="1014" spans="3:4">
      <c r="C1014" t="s">
        <v>3096</v>
      </c>
      <c r="D1014" t="str">
        <f t="shared" si="17"/>
        <v>KI0065325070,</v>
      </c>
    </row>
    <row r="1015" spans="3:4">
      <c r="C1015" t="s">
        <v>1688</v>
      </c>
      <c r="D1015" t="str">
        <f t="shared" si="17"/>
        <v>KI7508678945,</v>
      </c>
    </row>
    <row r="1016" spans="3:4">
      <c r="C1016" t="s">
        <v>3097</v>
      </c>
      <c r="D1016" t="str">
        <f t="shared" si="17"/>
        <v>KI9012015626,</v>
      </c>
    </row>
    <row r="1017" spans="3:4">
      <c r="C1017" t="s">
        <v>3098</v>
      </c>
      <c r="D1017" t="str">
        <f t="shared" si="17"/>
        <v>KI9012159953,</v>
      </c>
    </row>
    <row r="1018" spans="3:4">
      <c r="C1018" t="s">
        <v>1493</v>
      </c>
      <c r="D1018" t="str">
        <f t="shared" si="17"/>
        <v>KI9012190711,</v>
      </c>
    </row>
    <row r="1019" spans="3:4">
      <c r="C1019" t="s">
        <v>1827</v>
      </c>
      <c r="D1019" t="str">
        <f t="shared" si="17"/>
        <v>KI9012193578,</v>
      </c>
    </row>
    <row r="1020" spans="3:4">
      <c r="C1020" t="s">
        <v>1666</v>
      </c>
      <c r="D1020" t="str">
        <f t="shared" si="17"/>
        <v>KI9012195057,</v>
      </c>
    </row>
    <row r="1021" spans="3:4">
      <c r="C1021" t="s">
        <v>3099</v>
      </c>
      <c r="D1021" t="str">
        <f t="shared" si="17"/>
        <v>LE7508334150,</v>
      </c>
    </row>
    <row r="1022" spans="3:4">
      <c r="C1022" t="s">
        <v>3100</v>
      </c>
      <c r="D1022" t="str">
        <f t="shared" si="17"/>
        <v>LE7508418042,</v>
      </c>
    </row>
    <row r="1023" spans="3:4">
      <c r="C1023" t="s">
        <v>1845</v>
      </c>
      <c r="D1023" t="str">
        <f t="shared" si="17"/>
        <v>LE9012000773,</v>
      </c>
    </row>
    <row r="1024" spans="3:4">
      <c r="C1024" t="s">
        <v>3101</v>
      </c>
      <c r="D1024" t="str">
        <f t="shared" si="17"/>
        <v>LE9012167630,</v>
      </c>
    </row>
    <row r="1025" spans="3:4">
      <c r="C1025" t="s">
        <v>3102</v>
      </c>
      <c r="D1025" t="str">
        <f t="shared" si="17"/>
        <v>PW7513554530,</v>
      </c>
    </row>
    <row r="1026" spans="3:4">
      <c r="C1026" t="s">
        <v>1881</v>
      </c>
      <c r="D1026" t="str">
        <f t="shared" si="17"/>
        <v>PW9012013384,</v>
      </c>
    </row>
    <row r="1027" spans="3:4">
      <c r="C1027" t="s">
        <v>3103</v>
      </c>
      <c r="D1027" t="str">
        <f t="shared" si="17"/>
        <v>RW7507283038,</v>
      </c>
    </row>
    <row r="1028" spans="3:4">
      <c r="C1028" t="s">
        <v>1441</v>
      </c>
      <c r="D1028" t="str">
        <f t="shared" si="17"/>
        <v>FS7512071205,</v>
      </c>
    </row>
    <row r="1029" spans="3:4">
      <c r="C1029" t="s">
        <v>1859</v>
      </c>
      <c r="D1029" t="str">
        <f t="shared" si="17"/>
        <v>FS7512077781,</v>
      </c>
    </row>
    <row r="1030" spans="3:4">
      <c r="C1030" t="s">
        <v>1686</v>
      </c>
      <c r="D1030" t="str">
        <f t="shared" si="17"/>
        <v>FS9012005941,</v>
      </c>
    </row>
    <row r="1031" spans="3:4">
      <c r="C1031" t="s">
        <v>3104</v>
      </c>
      <c r="D1031" t="str">
        <f t="shared" si="17"/>
        <v>FS9012025773,</v>
      </c>
    </row>
    <row r="1032" spans="3:4">
      <c r="C1032" t="s">
        <v>3105</v>
      </c>
      <c r="D1032" t="str">
        <f t="shared" si="17"/>
        <v>GW9012036128,</v>
      </c>
    </row>
    <row r="1033" spans="3:4">
      <c r="C1033" t="s">
        <v>1863</v>
      </c>
      <c r="D1033" t="str">
        <f t="shared" si="17"/>
        <v>ID9011560532,</v>
      </c>
    </row>
    <row r="1034" spans="3:4">
      <c r="C1034" t="s">
        <v>1646</v>
      </c>
      <c r="D1034" t="str">
        <f t="shared" si="17"/>
        <v>ID9012013680,</v>
      </c>
    </row>
    <row r="1035" spans="3:4">
      <c r="C1035" t="s">
        <v>3106</v>
      </c>
      <c r="D1035" t="str">
        <f t="shared" si="17"/>
        <v>KI7508742661,</v>
      </c>
    </row>
    <row r="1036" spans="3:4">
      <c r="C1036" t="s">
        <v>1820</v>
      </c>
      <c r="D1036" t="str">
        <f t="shared" si="17"/>
        <v>KI9012179049,</v>
      </c>
    </row>
    <row r="1037" spans="3:4">
      <c r="C1037" t="s">
        <v>1492</v>
      </c>
      <c r="D1037" t="str">
        <f t="shared" si="17"/>
        <v>KI9012191178,</v>
      </c>
    </row>
    <row r="1038" spans="3:4">
      <c r="C1038" t="s">
        <v>1670</v>
      </c>
      <c r="D1038" t="str">
        <f t="shared" si="17"/>
        <v>KI9012193813,</v>
      </c>
    </row>
    <row r="1039" spans="3:4">
      <c r="C1039" t="s">
        <v>3107</v>
      </c>
      <c r="D1039" t="str">
        <f t="shared" si="17"/>
        <v>KI9012197506,</v>
      </c>
    </row>
    <row r="1040" spans="3:4">
      <c r="C1040" t="s">
        <v>1605</v>
      </c>
      <c r="D1040" t="str">
        <f t="shared" si="17"/>
        <v>LE7508466872,</v>
      </c>
    </row>
    <row r="1041" spans="3:4">
      <c r="C1041" t="s">
        <v>1890</v>
      </c>
      <c r="D1041" t="str">
        <f t="shared" si="17"/>
        <v>LE9012192218,</v>
      </c>
    </row>
    <row r="1042" spans="3:4">
      <c r="C1042" t="s">
        <v>3108</v>
      </c>
      <c r="D1042" t="str">
        <f t="shared" si="17"/>
        <v>DP7508561130,</v>
      </c>
    </row>
    <row r="1043" spans="3:4">
      <c r="C1043" t="s">
        <v>3109</v>
      </c>
      <c r="D1043" t="str">
        <f t="shared" si="17"/>
        <v>FS7512385232,</v>
      </c>
    </row>
    <row r="1044" spans="3:4">
      <c r="C1044" t="s">
        <v>3110</v>
      </c>
      <c r="D1044" t="str">
        <f t="shared" si="17"/>
        <v>KI7508640364,</v>
      </c>
    </row>
    <row r="1045" spans="3:4">
      <c r="C1045" t="s">
        <v>3111</v>
      </c>
      <c r="D1045" t="str">
        <f t="shared" si="17"/>
        <v>KI7508910903,</v>
      </c>
    </row>
    <row r="1046" spans="3:4">
      <c r="C1046" t="s">
        <v>3112</v>
      </c>
      <c r="D1046" t="str">
        <f t="shared" si="17"/>
        <v>SA7514149337,</v>
      </c>
    </row>
    <row r="1047" spans="3:4">
      <c r="C1047" t="s">
        <v>3113</v>
      </c>
      <c r="D1047" t="str">
        <f t="shared" si="17"/>
        <v>AM7513834820,</v>
      </c>
    </row>
    <row r="1048" spans="3:4">
      <c r="C1048" t="s">
        <v>3114</v>
      </c>
      <c r="D1048" t="str">
        <f t="shared" si="17"/>
        <v>DP7508560746,</v>
      </c>
    </row>
    <row r="1049" spans="3:4">
      <c r="C1049" t="s">
        <v>3115</v>
      </c>
      <c r="D1049" t="str">
        <f t="shared" si="17"/>
        <v>FS7512086486,</v>
      </c>
    </row>
    <row r="1050" spans="3:4">
      <c r="C1050" t="s">
        <v>3116</v>
      </c>
      <c r="D1050" t="str">
        <f t="shared" si="17"/>
        <v>FS7512153336,</v>
      </c>
    </row>
    <row r="1051" spans="3:4">
      <c r="C1051" t="s">
        <v>3117</v>
      </c>
      <c r="D1051" t="str">
        <f t="shared" si="17"/>
        <v>FS7512378676,</v>
      </c>
    </row>
    <row r="1052" spans="3:4">
      <c r="C1052" t="s">
        <v>3118</v>
      </c>
      <c r="D1052" t="str">
        <f t="shared" si="17"/>
        <v>FS7512386909,</v>
      </c>
    </row>
    <row r="1053" spans="3:4">
      <c r="C1053" t="s">
        <v>3119</v>
      </c>
      <c r="D1053" t="str">
        <f t="shared" si="17"/>
        <v>FS9012044685,</v>
      </c>
    </row>
    <row r="1054" spans="3:4">
      <c r="C1054" t="s">
        <v>3120</v>
      </c>
      <c r="D1054" t="str">
        <f t="shared" si="17"/>
        <v>ID7512538229,</v>
      </c>
    </row>
    <row r="1055" spans="3:4">
      <c r="C1055" t="s">
        <v>3121</v>
      </c>
      <c r="D1055" t="str">
        <f t="shared" ref="D1055:D1118" si="18">""&amp;C1055&amp;","</f>
        <v>ID9011560533,</v>
      </c>
    </row>
    <row r="1056" spans="3:4">
      <c r="C1056" t="s">
        <v>3122</v>
      </c>
      <c r="D1056" t="str">
        <f t="shared" si="18"/>
        <v>KI7500310752,</v>
      </c>
    </row>
    <row r="1057" spans="3:4">
      <c r="C1057" t="s">
        <v>3123</v>
      </c>
      <c r="D1057" t="str">
        <f t="shared" si="18"/>
        <v>KI7508836353,</v>
      </c>
    </row>
    <row r="1058" spans="3:4">
      <c r="C1058" t="s">
        <v>3124</v>
      </c>
      <c r="D1058" t="str">
        <f t="shared" si="18"/>
        <v>KI9012049858,</v>
      </c>
    </row>
    <row r="1059" spans="3:4">
      <c r="C1059" t="s">
        <v>3125</v>
      </c>
      <c r="D1059" t="str">
        <f t="shared" si="18"/>
        <v>LE7508475380,</v>
      </c>
    </row>
    <row r="1060" spans="3:4">
      <c r="C1060" t="s">
        <v>3126</v>
      </c>
      <c r="D1060" t="str">
        <f t="shared" si="18"/>
        <v>LE7510118408,</v>
      </c>
    </row>
    <row r="1061" spans="3:4">
      <c r="C1061" t="s">
        <v>3127</v>
      </c>
      <c r="D1061" t="str">
        <f t="shared" si="18"/>
        <v>LE7510118539,</v>
      </c>
    </row>
    <row r="1062" spans="3:4">
      <c r="C1062" t="s">
        <v>3128</v>
      </c>
      <c r="D1062" t="str">
        <f t="shared" si="18"/>
        <v>LE7510126247,</v>
      </c>
    </row>
    <row r="1063" spans="3:4">
      <c r="C1063" t="s">
        <v>3129</v>
      </c>
      <c r="D1063" t="str">
        <f t="shared" si="18"/>
        <v>LE7510128447,</v>
      </c>
    </row>
    <row r="1064" spans="3:4">
      <c r="C1064" t="s">
        <v>3130</v>
      </c>
      <c r="D1064" t="str">
        <f t="shared" si="18"/>
        <v>RW7507295654,</v>
      </c>
    </row>
    <row r="1065" spans="3:4">
      <c r="C1065" t="s">
        <v>3131</v>
      </c>
      <c r="D1065" t="str">
        <f t="shared" si="18"/>
        <v>SA7514146164,</v>
      </c>
    </row>
    <row r="1066" spans="3:4">
      <c r="C1066" t="s">
        <v>3132</v>
      </c>
      <c r="D1066" t="str">
        <f t="shared" si="18"/>
        <v>SP7514211737,</v>
      </c>
    </row>
    <row r="1067" spans="3:4">
      <c r="C1067" t="s">
        <v>3133</v>
      </c>
      <c r="D1067" t="str">
        <f t="shared" si="18"/>
        <v>BA7507939254,</v>
      </c>
    </row>
    <row r="1068" spans="3:4">
      <c r="C1068" t="s">
        <v>3134</v>
      </c>
      <c r="D1068" t="str">
        <f t="shared" si="18"/>
        <v>FS0060928680,</v>
      </c>
    </row>
    <row r="1069" spans="3:4">
      <c r="C1069" t="s">
        <v>3135</v>
      </c>
      <c r="D1069" t="str">
        <f t="shared" si="18"/>
        <v>FS7512048471,</v>
      </c>
    </row>
    <row r="1070" spans="3:4">
      <c r="C1070" t="s">
        <v>3136</v>
      </c>
      <c r="D1070" t="str">
        <f t="shared" si="18"/>
        <v>FS7512049694,</v>
      </c>
    </row>
    <row r="1071" spans="3:4">
      <c r="C1071" t="s">
        <v>3137</v>
      </c>
      <c r="D1071" t="str">
        <f t="shared" si="18"/>
        <v>FS7512170058,</v>
      </c>
    </row>
    <row r="1072" spans="3:4">
      <c r="C1072" t="s">
        <v>3138</v>
      </c>
      <c r="D1072" t="str">
        <f t="shared" si="18"/>
        <v>ID7512539840,</v>
      </c>
    </row>
    <row r="1073" spans="3:4">
      <c r="C1073" t="s">
        <v>3139</v>
      </c>
      <c r="D1073" t="str">
        <f t="shared" si="18"/>
        <v>ID9011560557,</v>
      </c>
    </row>
    <row r="1074" spans="3:4">
      <c r="C1074" t="s">
        <v>2249</v>
      </c>
      <c r="D1074" t="str">
        <f t="shared" si="18"/>
        <v>JG7503726851,</v>
      </c>
    </row>
    <row r="1075" spans="3:4">
      <c r="C1075" t="s">
        <v>3140</v>
      </c>
      <c r="D1075" t="str">
        <f t="shared" si="18"/>
        <v>KI7508816990,</v>
      </c>
    </row>
    <row r="1076" spans="3:4">
      <c r="C1076" t="s">
        <v>3141</v>
      </c>
      <c r="D1076" t="str">
        <f t="shared" si="18"/>
        <v>KI7508849250,</v>
      </c>
    </row>
    <row r="1077" spans="3:4">
      <c r="C1077" t="s">
        <v>3142</v>
      </c>
      <c r="D1077" t="str">
        <f t="shared" si="18"/>
        <v>KI7508882386,</v>
      </c>
    </row>
    <row r="1078" spans="3:4">
      <c r="C1078" t="s">
        <v>3143</v>
      </c>
      <c r="D1078" t="str">
        <f t="shared" si="18"/>
        <v>KI7508953796,</v>
      </c>
    </row>
    <row r="1079" spans="3:4">
      <c r="C1079" t="s">
        <v>1516</v>
      </c>
      <c r="D1079" t="str">
        <f t="shared" si="18"/>
        <v>KI9012186921,</v>
      </c>
    </row>
    <row r="1080" spans="3:4">
      <c r="C1080" t="s">
        <v>3144</v>
      </c>
      <c r="D1080" t="str">
        <f t="shared" si="18"/>
        <v>LE7510138786,</v>
      </c>
    </row>
    <row r="1081" spans="3:4">
      <c r="C1081" t="s">
        <v>3145</v>
      </c>
      <c r="D1081" t="str">
        <f t="shared" si="18"/>
        <v>LE7510143220,</v>
      </c>
    </row>
    <row r="1082" spans="3:4">
      <c r="C1082" t="s">
        <v>3146</v>
      </c>
      <c r="D1082" t="str">
        <f t="shared" si="18"/>
        <v>LE7510155443,</v>
      </c>
    </row>
    <row r="1083" spans="3:4">
      <c r="C1083" t="s">
        <v>3147</v>
      </c>
      <c r="D1083" t="str">
        <f t="shared" si="18"/>
        <v>MN7513089082,</v>
      </c>
    </row>
    <row r="1084" spans="3:4">
      <c r="C1084" t="s">
        <v>3148</v>
      </c>
      <c r="D1084" t="str">
        <f t="shared" si="18"/>
        <v>NS9011923873,</v>
      </c>
    </row>
    <row r="1085" spans="3:4">
      <c r="C1085" t="s">
        <v>3149</v>
      </c>
      <c r="D1085" t="str">
        <f t="shared" si="18"/>
        <v>RW7507305183,</v>
      </c>
    </row>
    <row r="1086" spans="3:4">
      <c r="C1086" t="s">
        <v>3150</v>
      </c>
      <c r="D1086" t="str">
        <f t="shared" si="18"/>
        <v>SA7514144210,</v>
      </c>
    </row>
    <row r="1087" spans="3:4">
      <c r="C1087" t="s">
        <v>3151</v>
      </c>
      <c r="D1087" t="str">
        <f t="shared" si="18"/>
        <v>SP7504694546,</v>
      </c>
    </row>
    <row r="1088" spans="3:4">
      <c r="C1088" t="s">
        <v>3152</v>
      </c>
      <c r="D1088" t="str">
        <f t="shared" si="18"/>
        <v>BR7502731944,</v>
      </c>
    </row>
    <row r="1089" spans="3:4">
      <c r="C1089" t="s">
        <v>3153</v>
      </c>
      <c r="D1089" t="str">
        <f t="shared" si="18"/>
        <v>FS7512098189,</v>
      </c>
    </row>
    <row r="1090" spans="3:4">
      <c r="C1090" t="s">
        <v>3154</v>
      </c>
      <c r="D1090" t="str">
        <f t="shared" si="18"/>
        <v>ID7512531983,</v>
      </c>
    </row>
    <row r="1091" spans="3:4">
      <c r="C1091" t="s">
        <v>3155</v>
      </c>
      <c r="D1091" t="str">
        <f t="shared" si="18"/>
        <v>ID7512533324,</v>
      </c>
    </row>
    <row r="1092" spans="3:4">
      <c r="C1092" t="s">
        <v>3156</v>
      </c>
      <c r="D1092" t="str">
        <f t="shared" si="18"/>
        <v>KI7500300397,</v>
      </c>
    </row>
    <row r="1093" spans="3:4">
      <c r="C1093" t="s">
        <v>2110</v>
      </c>
      <c r="D1093" t="str">
        <f t="shared" si="18"/>
        <v>KI7500315447,</v>
      </c>
    </row>
    <row r="1094" spans="3:4">
      <c r="C1094" t="s">
        <v>3157</v>
      </c>
      <c r="D1094" t="str">
        <f t="shared" si="18"/>
        <v>KI7506257941,</v>
      </c>
    </row>
    <row r="1095" spans="3:4">
      <c r="C1095" t="s">
        <v>3158</v>
      </c>
      <c r="D1095" t="str">
        <f t="shared" si="18"/>
        <v>KI7508667265,</v>
      </c>
    </row>
    <row r="1096" spans="3:4">
      <c r="C1096" t="s">
        <v>3159</v>
      </c>
      <c r="D1096" t="str">
        <f t="shared" si="18"/>
        <v>KI7508775759,</v>
      </c>
    </row>
    <row r="1097" spans="3:4">
      <c r="C1097" t="s">
        <v>3160</v>
      </c>
      <c r="D1097" t="str">
        <f t="shared" si="18"/>
        <v>KI7508789149,</v>
      </c>
    </row>
    <row r="1098" spans="3:4">
      <c r="C1098" t="s">
        <v>3161</v>
      </c>
      <c r="D1098" t="str">
        <f t="shared" si="18"/>
        <v>KI7508853660,</v>
      </c>
    </row>
    <row r="1099" spans="3:4">
      <c r="C1099" t="s">
        <v>3162</v>
      </c>
      <c r="D1099" t="str">
        <f t="shared" si="18"/>
        <v>KI7508868970,</v>
      </c>
    </row>
    <row r="1100" spans="3:4">
      <c r="C1100" t="s">
        <v>3163</v>
      </c>
      <c r="D1100" t="str">
        <f t="shared" si="18"/>
        <v>KI7508953880,</v>
      </c>
    </row>
    <row r="1101" spans="3:4">
      <c r="C1101" t="s">
        <v>3164</v>
      </c>
      <c r="D1101" t="str">
        <f t="shared" si="18"/>
        <v>LE7508511779,</v>
      </c>
    </row>
    <row r="1102" spans="3:4">
      <c r="C1102" t="s">
        <v>3165</v>
      </c>
      <c r="D1102" t="str">
        <f t="shared" si="18"/>
        <v>LE7508524186,</v>
      </c>
    </row>
    <row r="1103" spans="3:4">
      <c r="C1103" t="s">
        <v>3166</v>
      </c>
      <c r="D1103" t="str">
        <f t="shared" si="18"/>
        <v>LE7510114988,</v>
      </c>
    </row>
    <row r="1104" spans="3:4">
      <c r="C1104" t="s">
        <v>3167</v>
      </c>
      <c r="D1104" t="str">
        <f t="shared" si="18"/>
        <v>LE7510117508,</v>
      </c>
    </row>
    <row r="1105" spans="3:4">
      <c r="C1105" t="s">
        <v>3168</v>
      </c>
      <c r="D1105" t="str">
        <f t="shared" si="18"/>
        <v>LE7510121750,</v>
      </c>
    </row>
    <row r="1106" spans="3:4">
      <c r="C1106" t="s">
        <v>3169</v>
      </c>
      <c r="D1106" t="str">
        <f t="shared" si="18"/>
        <v>LE7510136535,</v>
      </c>
    </row>
    <row r="1107" spans="3:4">
      <c r="C1107" t="s">
        <v>3170</v>
      </c>
      <c r="D1107" t="str">
        <f t="shared" si="18"/>
        <v>LE7510146793,</v>
      </c>
    </row>
    <row r="1108" spans="3:4">
      <c r="C1108" t="s">
        <v>3171</v>
      </c>
      <c r="D1108" t="str">
        <f t="shared" si="18"/>
        <v>LE7510154394,</v>
      </c>
    </row>
    <row r="1109" spans="3:4">
      <c r="C1109" t="s">
        <v>3172</v>
      </c>
      <c r="D1109" t="str">
        <f t="shared" si="18"/>
        <v>SP7514181295,</v>
      </c>
    </row>
    <row r="1110" spans="3:4">
      <c r="C1110" t="s">
        <v>3173</v>
      </c>
      <c r="D1110" t="str">
        <f t="shared" si="18"/>
        <v>FS7512149687,</v>
      </c>
    </row>
    <row r="1111" spans="3:4">
      <c r="C1111" t="s">
        <v>3174</v>
      </c>
      <c r="D1111" t="str">
        <f t="shared" si="18"/>
        <v>FS7512158731,</v>
      </c>
    </row>
    <row r="1112" spans="3:4">
      <c r="C1112" t="s">
        <v>3175</v>
      </c>
      <c r="D1112" t="str">
        <f t="shared" si="18"/>
        <v>ID7512538741,</v>
      </c>
    </row>
    <row r="1113" spans="3:4">
      <c r="C1113" t="s">
        <v>3176</v>
      </c>
      <c r="D1113" t="str">
        <f t="shared" si="18"/>
        <v>ID9012036884,</v>
      </c>
    </row>
    <row r="1114" spans="3:4">
      <c r="C1114" t="s">
        <v>3177</v>
      </c>
      <c r="D1114" t="str">
        <f t="shared" si="18"/>
        <v>KI7500301921,</v>
      </c>
    </row>
    <row r="1115" spans="3:4">
      <c r="C1115" t="s">
        <v>3178</v>
      </c>
      <c r="D1115" t="str">
        <f t="shared" si="18"/>
        <v>KI7500303300,</v>
      </c>
    </row>
    <row r="1116" spans="3:4">
      <c r="C1116" t="s">
        <v>3179</v>
      </c>
      <c r="D1116" t="str">
        <f t="shared" si="18"/>
        <v>KI7508738717,</v>
      </c>
    </row>
    <row r="1117" spans="3:4">
      <c r="C1117" t="s">
        <v>3180</v>
      </c>
      <c r="D1117" t="str">
        <f t="shared" si="18"/>
        <v>KI7508876525,</v>
      </c>
    </row>
    <row r="1118" spans="3:4">
      <c r="C1118" t="s">
        <v>3181</v>
      </c>
      <c r="D1118" t="str">
        <f t="shared" si="18"/>
        <v>KI7508923155,</v>
      </c>
    </row>
    <row r="1119" spans="3:4">
      <c r="C1119" t="s">
        <v>3182</v>
      </c>
      <c r="D1119" t="str">
        <f t="shared" ref="D1119:D1182" si="19">""&amp;C1119&amp;","</f>
        <v>KP7514167826,</v>
      </c>
    </row>
    <row r="1120" spans="3:4">
      <c r="C1120" t="s">
        <v>3183</v>
      </c>
      <c r="D1120" t="str">
        <f t="shared" si="19"/>
        <v>LE7508381603,</v>
      </c>
    </row>
    <row r="1121" spans="3:4">
      <c r="C1121" t="s">
        <v>3184</v>
      </c>
      <c r="D1121" t="str">
        <f t="shared" si="19"/>
        <v>LE7508456165,</v>
      </c>
    </row>
    <row r="1122" spans="3:4">
      <c r="C1122" t="s">
        <v>3185</v>
      </c>
      <c r="D1122" t="str">
        <f t="shared" si="19"/>
        <v>LE7508482552,</v>
      </c>
    </row>
    <row r="1123" spans="3:4">
      <c r="C1123" t="s">
        <v>3186</v>
      </c>
      <c r="D1123" t="str">
        <f t="shared" si="19"/>
        <v>LE7508526529,</v>
      </c>
    </row>
    <row r="1124" spans="3:4">
      <c r="C1124" t="s">
        <v>3187</v>
      </c>
      <c r="D1124" t="str">
        <f t="shared" si="19"/>
        <v>LE7508527576,</v>
      </c>
    </row>
    <row r="1125" spans="3:4">
      <c r="C1125" t="s">
        <v>3188</v>
      </c>
      <c r="D1125" t="str">
        <f t="shared" si="19"/>
        <v>LE7508534643,</v>
      </c>
    </row>
    <row r="1126" spans="3:4">
      <c r="C1126" t="s">
        <v>3189</v>
      </c>
      <c r="D1126" t="str">
        <f t="shared" si="19"/>
        <v>LE7510113104,</v>
      </c>
    </row>
    <row r="1127" spans="3:4">
      <c r="C1127" t="s">
        <v>3190</v>
      </c>
      <c r="D1127" t="str">
        <f t="shared" si="19"/>
        <v>MM9011796253,</v>
      </c>
    </row>
    <row r="1128" spans="3:4">
      <c r="C1128" t="s">
        <v>3191</v>
      </c>
      <c r="D1128" t="str">
        <f t="shared" si="19"/>
        <v>PW7513559310,</v>
      </c>
    </row>
    <row r="1129" spans="3:4">
      <c r="C1129" t="s">
        <v>3192</v>
      </c>
      <c r="D1129" t="str">
        <f t="shared" si="19"/>
        <v>RW7507285200,</v>
      </c>
    </row>
    <row r="1130" spans="3:4">
      <c r="C1130" t="s">
        <v>3193</v>
      </c>
      <c r="D1130" t="str">
        <f t="shared" si="19"/>
        <v>RY7506830363,</v>
      </c>
    </row>
    <row r="1131" spans="3:4">
      <c r="C1131" t="s">
        <v>3194</v>
      </c>
      <c r="D1131" t="str">
        <f t="shared" si="19"/>
        <v>BA7507943001,</v>
      </c>
    </row>
    <row r="1132" spans="3:4">
      <c r="C1132" t="s">
        <v>3195</v>
      </c>
      <c r="D1132" t="str">
        <f t="shared" si="19"/>
        <v>FS7512162622,</v>
      </c>
    </row>
    <row r="1133" spans="3:4">
      <c r="C1133" t="s">
        <v>3196</v>
      </c>
      <c r="D1133" t="str">
        <f t="shared" si="19"/>
        <v>FS7512174803,</v>
      </c>
    </row>
    <row r="1134" spans="3:4">
      <c r="C1134" t="s">
        <v>3197</v>
      </c>
      <c r="D1134" t="str">
        <f t="shared" si="19"/>
        <v>FS7512182537,</v>
      </c>
    </row>
    <row r="1135" spans="3:4">
      <c r="C1135" t="s">
        <v>3198</v>
      </c>
      <c r="D1135" t="str">
        <f t="shared" si="19"/>
        <v>FS7512375941,</v>
      </c>
    </row>
    <row r="1136" spans="3:4">
      <c r="C1136" t="s">
        <v>1482</v>
      </c>
      <c r="D1136" t="str">
        <f t="shared" si="19"/>
        <v>GW9012195348,</v>
      </c>
    </row>
    <row r="1137" spans="3:4">
      <c r="C1137" t="s">
        <v>3199</v>
      </c>
      <c r="D1137" t="str">
        <f t="shared" si="19"/>
        <v>HD7514720446,</v>
      </c>
    </row>
    <row r="1138" spans="3:4">
      <c r="C1138" t="s">
        <v>3200</v>
      </c>
      <c r="D1138" t="str">
        <f t="shared" si="19"/>
        <v>ID7512531792,</v>
      </c>
    </row>
    <row r="1139" spans="3:4">
      <c r="C1139" t="s">
        <v>3201</v>
      </c>
      <c r="D1139" t="str">
        <f t="shared" si="19"/>
        <v>KI7500696479,</v>
      </c>
    </row>
    <row r="1140" spans="3:4">
      <c r="C1140" t="s">
        <v>3202</v>
      </c>
      <c r="D1140" t="str">
        <f t="shared" si="19"/>
        <v>KI7508584685,</v>
      </c>
    </row>
    <row r="1141" spans="3:4">
      <c r="C1141" t="s">
        <v>3203</v>
      </c>
      <c r="D1141" t="str">
        <f t="shared" si="19"/>
        <v>KI7508655741,</v>
      </c>
    </row>
    <row r="1142" spans="3:4">
      <c r="C1142" t="s">
        <v>3204</v>
      </c>
      <c r="D1142" t="str">
        <f t="shared" si="19"/>
        <v>KI7508900038,</v>
      </c>
    </row>
    <row r="1143" spans="3:4">
      <c r="C1143" t="s">
        <v>3205</v>
      </c>
      <c r="D1143" t="str">
        <f t="shared" si="19"/>
        <v>KI7508919992,</v>
      </c>
    </row>
    <row r="1144" spans="3:4">
      <c r="C1144" t="s">
        <v>3206</v>
      </c>
      <c r="D1144" t="str">
        <f t="shared" si="19"/>
        <v>KI7508977925,</v>
      </c>
    </row>
    <row r="1145" spans="3:4">
      <c r="C1145" t="s">
        <v>3207</v>
      </c>
      <c r="D1145" t="str">
        <f t="shared" si="19"/>
        <v>KI9012033459,</v>
      </c>
    </row>
    <row r="1146" spans="3:4">
      <c r="C1146" t="s">
        <v>3208</v>
      </c>
      <c r="D1146" t="str">
        <f t="shared" si="19"/>
        <v>KI9012185326,</v>
      </c>
    </row>
    <row r="1147" spans="3:4">
      <c r="C1147" t="s">
        <v>3209</v>
      </c>
      <c r="D1147" t="str">
        <f t="shared" si="19"/>
        <v>LE7508463220,</v>
      </c>
    </row>
    <row r="1148" spans="3:4">
      <c r="C1148" t="s">
        <v>3210</v>
      </c>
      <c r="D1148" t="str">
        <f t="shared" si="19"/>
        <v>LE7510097554,</v>
      </c>
    </row>
    <row r="1149" spans="3:4">
      <c r="C1149" t="s">
        <v>1513</v>
      </c>
      <c r="D1149" t="str">
        <f t="shared" si="19"/>
        <v>LE9012194586,</v>
      </c>
    </row>
    <row r="1150" spans="3:4">
      <c r="C1150" t="s">
        <v>3211</v>
      </c>
      <c r="D1150" t="str">
        <f t="shared" si="19"/>
        <v>MC7503291490,</v>
      </c>
    </row>
    <row r="1151" spans="3:4">
      <c r="C1151" t="s">
        <v>3212</v>
      </c>
      <c r="D1151" t="str">
        <f t="shared" si="19"/>
        <v>MN7513083902,</v>
      </c>
    </row>
    <row r="1152" spans="3:4">
      <c r="C1152" t="s">
        <v>3213</v>
      </c>
      <c r="D1152" t="str">
        <f t="shared" si="19"/>
        <v>MW7503789602,</v>
      </c>
    </row>
    <row r="1153" spans="3:4">
      <c r="C1153" t="s">
        <v>3214</v>
      </c>
      <c r="D1153" t="str">
        <f t="shared" si="19"/>
        <v>MX7512741304,</v>
      </c>
    </row>
    <row r="1154" spans="3:4">
      <c r="C1154" t="s">
        <v>3215</v>
      </c>
      <c r="D1154" t="str">
        <f t="shared" si="19"/>
        <v>MX7512748698,</v>
      </c>
    </row>
    <row r="1155" spans="3:4">
      <c r="C1155" t="s">
        <v>3216</v>
      </c>
      <c r="D1155" t="str">
        <f t="shared" si="19"/>
        <v>SA7514076792,</v>
      </c>
    </row>
    <row r="1156" spans="3:4">
      <c r="C1156" t="s">
        <v>3217</v>
      </c>
      <c r="D1156" t="str">
        <f t="shared" si="19"/>
        <v>SL9011794264,</v>
      </c>
    </row>
    <row r="1157" spans="3:4">
      <c r="C1157" t="s">
        <v>3218</v>
      </c>
      <c r="D1157" t="str">
        <f t="shared" si="19"/>
        <v>FS7512077319,</v>
      </c>
    </row>
    <row r="1158" spans="3:4">
      <c r="C1158" t="s">
        <v>3219</v>
      </c>
      <c r="D1158" t="str">
        <f t="shared" si="19"/>
        <v>FS7512139712,</v>
      </c>
    </row>
    <row r="1159" spans="3:4">
      <c r="C1159" t="s">
        <v>3220</v>
      </c>
      <c r="D1159" t="str">
        <f t="shared" si="19"/>
        <v>FS7512143935,</v>
      </c>
    </row>
    <row r="1160" spans="3:4">
      <c r="C1160" t="s">
        <v>3221</v>
      </c>
      <c r="D1160" t="str">
        <f t="shared" si="19"/>
        <v>FS9011930887,</v>
      </c>
    </row>
    <row r="1161" spans="3:4">
      <c r="C1161" t="s">
        <v>3222</v>
      </c>
      <c r="D1161" t="str">
        <f t="shared" si="19"/>
        <v>ID7512542430,</v>
      </c>
    </row>
    <row r="1162" spans="3:4">
      <c r="C1162" t="s">
        <v>3223</v>
      </c>
      <c r="D1162" t="str">
        <f t="shared" si="19"/>
        <v>JG7503726582,</v>
      </c>
    </row>
    <row r="1163" spans="3:4">
      <c r="C1163" t="s">
        <v>3224</v>
      </c>
      <c r="D1163" t="str">
        <f t="shared" si="19"/>
        <v>KI7500319978,</v>
      </c>
    </row>
    <row r="1164" spans="3:4">
      <c r="C1164" t="s">
        <v>3225</v>
      </c>
      <c r="D1164" t="str">
        <f t="shared" si="19"/>
        <v>KI7508592937,</v>
      </c>
    </row>
    <row r="1165" spans="3:4">
      <c r="C1165" t="s">
        <v>3226</v>
      </c>
      <c r="D1165" t="str">
        <f t="shared" si="19"/>
        <v>KI7508665299,</v>
      </c>
    </row>
    <row r="1166" spans="3:4">
      <c r="C1166" t="s">
        <v>3227</v>
      </c>
      <c r="D1166" t="str">
        <f t="shared" si="19"/>
        <v>KI7508908373,</v>
      </c>
    </row>
    <row r="1167" spans="3:4">
      <c r="C1167" t="s">
        <v>3228</v>
      </c>
      <c r="D1167" t="str">
        <f t="shared" si="19"/>
        <v>LE7510135099,</v>
      </c>
    </row>
    <row r="1168" spans="3:4">
      <c r="C1168" t="s">
        <v>3229</v>
      </c>
      <c r="D1168" t="str">
        <f t="shared" si="19"/>
        <v>LE7510138291,</v>
      </c>
    </row>
    <row r="1169" spans="3:4">
      <c r="C1169" t="s">
        <v>3230</v>
      </c>
      <c r="D1169" t="str">
        <f t="shared" si="19"/>
        <v>LE9012062694,</v>
      </c>
    </row>
    <row r="1170" spans="3:4">
      <c r="C1170" t="s">
        <v>3231</v>
      </c>
      <c r="D1170" t="str">
        <f t="shared" si="19"/>
        <v>MX7512762579,</v>
      </c>
    </row>
    <row r="1171" spans="3:4">
      <c r="C1171" t="s">
        <v>3232</v>
      </c>
      <c r="D1171" t="str">
        <f t="shared" si="19"/>
        <v>BA7507941222,</v>
      </c>
    </row>
    <row r="1172" spans="3:4">
      <c r="C1172" t="s">
        <v>3233</v>
      </c>
      <c r="D1172" t="str">
        <f t="shared" si="19"/>
        <v>FS7512154373,</v>
      </c>
    </row>
    <row r="1173" spans="3:4">
      <c r="C1173" t="s">
        <v>3234</v>
      </c>
      <c r="D1173" t="str">
        <f t="shared" si="19"/>
        <v>KI7500311080,</v>
      </c>
    </row>
    <row r="1174" spans="3:4">
      <c r="C1174" t="s">
        <v>3235</v>
      </c>
      <c r="D1174" t="str">
        <f t="shared" si="19"/>
        <v>KI7500319312,</v>
      </c>
    </row>
    <row r="1175" spans="3:4">
      <c r="C1175" t="s">
        <v>3236</v>
      </c>
      <c r="D1175" t="str">
        <f t="shared" si="19"/>
        <v>KI7508768810,</v>
      </c>
    </row>
    <row r="1176" spans="3:4">
      <c r="C1176" t="s">
        <v>3237</v>
      </c>
      <c r="D1176" t="str">
        <f t="shared" si="19"/>
        <v>KI7508788657,</v>
      </c>
    </row>
    <row r="1177" spans="3:4">
      <c r="C1177" t="s">
        <v>3238</v>
      </c>
      <c r="D1177" t="str">
        <f t="shared" si="19"/>
        <v>KI7508895571,</v>
      </c>
    </row>
    <row r="1178" spans="3:4">
      <c r="C1178" t="s">
        <v>3239</v>
      </c>
      <c r="D1178" t="str">
        <f t="shared" si="19"/>
        <v>LE7508491040,</v>
      </c>
    </row>
    <row r="1179" spans="3:4">
      <c r="C1179" t="s">
        <v>3240</v>
      </c>
      <c r="D1179" t="str">
        <f t="shared" si="19"/>
        <v>MN7513084938,</v>
      </c>
    </row>
    <row r="1180" spans="3:4">
      <c r="C1180" t="s">
        <v>3241</v>
      </c>
      <c r="D1180" t="str">
        <f t="shared" si="19"/>
        <v>RW0060935188,</v>
      </c>
    </row>
    <row r="1181" spans="3:4">
      <c r="C1181" t="s">
        <v>3242</v>
      </c>
      <c r="D1181" t="str">
        <f t="shared" si="19"/>
        <v>DI9011925156,</v>
      </c>
    </row>
    <row r="1182" spans="3:4">
      <c r="C1182" t="s">
        <v>3243</v>
      </c>
      <c r="D1182" t="str">
        <f t="shared" si="19"/>
        <v>FS7512116659,</v>
      </c>
    </row>
    <row r="1183" spans="3:4">
      <c r="C1183" t="s">
        <v>3244</v>
      </c>
      <c r="D1183" t="str">
        <f t="shared" ref="D1183:D1246" si="20">""&amp;C1183&amp;","</f>
        <v>FS7512165011,</v>
      </c>
    </row>
    <row r="1184" spans="3:4">
      <c r="C1184" t="s">
        <v>3245</v>
      </c>
      <c r="D1184" t="str">
        <f t="shared" si="20"/>
        <v>ID7501542846,</v>
      </c>
    </row>
    <row r="1185" spans="3:4">
      <c r="C1185" t="s">
        <v>3246</v>
      </c>
      <c r="D1185" t="str">
        <f t="shared" si="20"/>
        <v>KI7508682794,</v>
      </c>
    </row>
    <row r="1186" spans="3:4">
      <c r="C1186" t="s">
        <v>3247</v>
      </c>
      <c r="D1186" t="str">
        <f t="shared" si="20"/>
        <v>LE0060906843,</v>
      </c>
    </row>
    <row r="1187" spans="3:4">
      <c r="C1187" t="s">
        <v>3248</v>
      </c>
      <c r="D1187" t="str">
        <f t="shared" si="20"/>
        <v>LE7508384665,</v>
      </c>
    </row>
    <row r="1188" spans="3:4">
      <c r="C1188" t="s">
        <v>3249</v>
      </c>
      <c r="D1188" t="str">
        <f t="shared" si="20"/>
        <v>LE9012045999,</v>
      </c>
    </row>
    <row r="1189" spans="3:4">
      <c r="C1189" t="s">
        <v>3250</v>
      </c>
      <c r="D1189" t="str">
        <f t="shared" si="20"/>
        <v>MX7512754061,</v>
      </c>
    </row>
    <row r="1190" spans="3:4">
      <c r="C1190" t="s">
        <v>3251</v>
      </c>
      <c r="D1190" t="str">
        <f t="shared" si="20"/>
        <v>WZ7507898830,</v>
      </c>
    </row>
    <row r="1191" spans="3:4">
      <c r="C1191" t="s">
        <v>3252</v>
      </c>
      <c r="D1191" t="str">
        <f t="shared" si="20"/>
        <v>DP7508559000,</v>
      </c>
    </row>
    <row r="1192" spans="3:4">
      <c r="C1192" t="s">
        <v>3253</v>
      </c>
      <c r="D1192" t="str">
        <f t="shared" si="20"/>
        <v>LE7510117320,</v>
      </c>
    </row>
    <row r="1193" spans="3:4">
      <c r="C1193" t="s">
        <v>3254</v>
      </c>
      <c r="D1193" t="str">
        <f t="shared" si="20"/>
        <v>OK7514468311,</v>
      </c>
    </row>
    <row r="1194" spans="3:4">
      <c r="C1194" t="s">
        <v>3255</v>
      </c>
      <c r="D1194" t="str">
        <f t="shared" si="20"/>
        <v>PW7513559936,</v>
      </c>
    </row>
    <row r="1195" spans="3:4">
      <c r="C1195" t="s">
        <v>3256</v>
      </c>
      <c r="D1195" t="str">
        <f t="shared" si="20"/>
        <v>SA7514136980,</v>
      </c>
    </row>
    <row r="1196" spans="3:4">
      <c r="C1196" t="s">
        <v>3257</v>
      </c>
      <c r="D1196" t="str">
        <f t="shared" si="20"/>
        <v>SP7514183578,</v>
      </c>
    </row>
    <row r="1197" spans="3:4">
      <c r="C1197" t="s">
        <v>3258</v>
      </c>
      <c r="D1197" t="str">
        <f t="shared" si="20"/>
        <v>FS7512116292,</v>
      </c>
    </row>
    <row r="1198" spans="3:4">
      <c r="C1198" t="s">
        <v>3259</v>
      </c>
      <c r="D1198" t="str">
        <f t="shared" si="20"/>
        <v>KI7508688091,</v>
      </c>
    </row>
    <row r="1199" spans="3:4">
      <c r="C1199" t="s">
        <v>3260</v>
      </c>
      <c r="D1199" t="str">
        <f t="shared" si="20"/>
        <v>KI7508783334,</v>
      </c>
    </row>
    <row r="1200" spans="3:4">
      <c r="C1200" t="s">
        <v>3261</v>
      </c>
      <c r="D1200" t="str">
        <f t="shared" si="20"/>
        <v>KI7508809425,</v>
      </c>
    </row>
    <row r="1201" spans="3:4">
      <c r="C1201" t="s">
        <v>3262</v>
      </c>
      <c r="D1201" t="str">
        <f t="shared" si="20"/>
        <v>LE7508468369,</v>
      </c>
    </row>
    <row r="1202" spans="3:4">
      <c r="C1202" t="s">
        <v>3263</v>
      </c>
      <c r="D1202" t="str">
        <f t="shared" si="20"/>
        <v>LE7508507474,</v>
      </c>
    </row>
    <row r="1203" spans="3:4">
      <c r="C1203" t="s">
        <v>3264</v>
      </c>
      <c r="D1203" t="str">
        <f t="shared" si="20"/>
        <v>MX7512749147,</v>
      </c>
    </row>
    <row r="1204" spans="3:4">
      <c r="C1204" t="s">
        <v>3265</v>
      </c>
      <c r="D1204" t="str">
        <f t="shared" si="20"/>
        <v>OK7514368436,</v>
      </c>
    </row>
    <row r="1205" spans="3:4">
      <c r="C1205" t="s">
        <v>3266</v>
      </c>
      <c r="D1205" t="str">
        <f t="shared" si="20"/>
        <v>RN7503439120,</v>
      </c>
    </row>
    <row r="1206" spans="3:4">
      <c r="C1206" t="s">
        <v>3267</v>
      </c>
      <c r="D1206" t="str">
        <f t="shared" si="20"/>
        <v>SP7514185148,</v>
      </c>
    </row>
    <row r="1207" spans="3:4">
      <c r="C1207" t="s">
        <v>3268</v>
      </c>
      <c r="D1207" t="str">
        <f t="shared" si="20"/>
        <v>FS7512075736,</v>
      </c>
    </row>
    <row r="1208" spans="3:4">
      <c r="C1208" t="s">
        <v>3269</v>
      </c>
      <c r="D1208" t="str">
        <f t="shared" si="20"/>
        <v>GW7514768216,</v>
      </c>
    </row>
    <row r="1209" spans="3:4">
      <c r="C1209" t="s">
        <v>3270</v>
      </c>
      <c r="D1209" t="str">
        <f t="shared" si="20"/>
        <v>KI7508897690,</v>
      </c>
    </row>
    <row r="1210" spans="3:4">
      <c r="C1210" t="s">
        <v>3271</v>
      </c>
      <c r="D1210" t="str">
        <f t="shared" si="20"/>
        <v>LE7508466865,</v>
      </c>
    </row>
    <row r="1211" spans="3:4">
      <c r="C1211" t="s">
        <v>3272</v>
      </c>
      <c r="D1211" t="str">
        <f t="shared" si="20"/>
        <v>LE7508502446,</v>
      </c>
    </row>
    <row r="1212" spans="3:4">
      <c r="C1212" t="s">
        <v>3273</v>
      </c>
      <c r="D1212" t="str">
        <f t="shared" si="20"/>
        <v>LE7508511900,</v>
      </c>
    </row>
    <row r="1213" spans="3:4">
      <c r="C1213" t="s">
        <v>3274</v>
      </c>
      <c r="D1213" t="str">
        <f t="shared" si="20"/>
        <v>MX7512749605,</v>
      </c>
    </row>
    <row r="1214" spans="3:4">
      <c r="C1214" t="s">
        <v>3275</v>
      </c>
      <c r="D1214" t="str">
        <f t="shared" si="20"/>
        <v>MX7512762479,</v>
      </c>
    </row>
    <row r="1215" spans="3:4">
      <c r="C1215" t="s">
        <v>3276</v>
      </c>
      <c r="D1215" t="str">
        <f t="shared" si="20"/>
        <v>SA7514149973,</v>
      </c>
    </row>
    <row r="1216" spans="3:4">
      <c r="C1216" t="s">
        <v>3277</v>
      </c>
      <c r="D1216" t="str">
        <f t="shared" si="20"/>
        <v>LE9012029786,</v>
      </c>
    </row>
    <row r="1217" spans="3:4">
      <c r="C1217" t="s">
        <v>1988</v>
      </c>
      <c r="D1217" t="str">
        <f t="shared" si="20"/>
        <v>FS7512133266,</v>
      </c>
    </row>
    <row r="1218" spans="3:4">
      <c r="C1218" t="s">
        <v>1974</v>
      </c>
      <c r="D1218" t="str">
        <f t="shared" si="20"/>
        <v>FS9012047734,</v>
      </c>
    </row>
    <row r="1219" spans="3:4">
      <c r="C1219" t="s">
        <v>2140</v>
      </c>
      <c r="D1219" t="str">
        <f t="shared" si="20"/>
        <v>KI7508854179,</v>
      </c>
    </row>
    <row r="1220" spans="3:4">
      <c r="C1220" t="s">
        <v>3278</v>
      </c>
      <c r="D1220" t="str">
        <f t="shared" si="20"/>
        <v>KI7508881457,</v>
      </c>
    </row>
    <row r="1221" spans="3:4">
      <c r="C1221" t="s">
        <v>3279</v>
      </c>
      <c r="D1221" t="str">
        <f t="shared" si="20"/>
        <v>LE9012024724,</v>
      </c>
    </row>
    <row r="1222" spans="3:4">
      <c r="C1222" t="s">
        <v>2150</v>
      </c>
      <c r="D1222" t="str">
        <f t="shared" si="20"/>
        <v>FS7512115930,</v>
      </c>
    </row>
    <row r="1223" spans="3:4">
      <c r="C1223" t="s">
        <v>2011</v>
      </c>
      <c r="D1223" t="str">
        <f t="shared" si="20"/>
        <v>FS7512136138,</v>
      </c>
    </row>
    <row r="1224" spans="3:4">
      <c r="C1224" t="s">
        <v>3280</v>
      </c>
      <c r="D1224" t="str">
        <f t="shared" si="20"/>
        <v>FS9012044604,</v>
      </c>
    </row>
    <row r="1225" spans="3:4">
      <c r="C1225" t="s">
        <v>2113</v>
      </c>
      <c r="D1225" t="str">
        <f t="shared" si="20"/>
        <v>KI7508811322,</v>
      </c>
    </row>
    <row r="1226" spans="3:4">
      <c r="C1226" t="s">
        <v>2193</v>
      </c>
      <c r="D1226" t="str">
        <f t="shared" si="20"/>
        <v>KI9012009222,</v>
      </c>
    </row>
    <row r="1227" spans="3:4">
      <c r="C1227" t="s">
        <v>3281</v>
      </c>
      <c r="D1227" t="str">
        <f t="shared" si="20"/>
        <v>KI9012045209,</v>
      </c>
    </row>
    <row r="1228" spans="3:4">
      <c r="C1228" t="s">
        <v>2088</v>
      </c>
      <c r="D1228" t="str">
        <f t="shared" si="20"/>
        <v>LE9012039730,</v>
      </c>
    </row>
    <row r="1229" spans="3:4">
      <c r="C1229" t="s">
        <v>1959</v>
      </c>
      <c r="D1229" t="str">
        <f t="shared" si="20"/>
        <v>KI9012028801,</v>
      </c>
    </row>
    <row r="1230" spans="3:4">
      <c r="C1230" t="s">
        <v>3282</v>
      </c>
      <c r="D1230" t="str">
        <f t="shared" si="20"/>
        <v>LE7508504362,</v>
      </c>
    </row>
    <row r="1231" spans="3:4">
      <c r="C1231" t="s">
        <v>1984</v>
      </c>
      <c r="D1231" t="str">
        <f t="shared" si="20"/>
        <v>LE7510100051,</v>
      </c>
    </row>
    <row r="1232" spans="3:4">
      <c r="C1232" t="s">
        <v>3283</v>
      </c>
      <c r="D1232" t="str">
        <f t="shared" si="20"/>
        <v>LE7510101850,</v>
      </c>
    </row>
    <row r="1233" spans="3:4">
      <c r="C1233" t="s">
        <v>2086</v>
      </c>
      <c r="D1233" t="str">
        <f t="shared" si="20"/>
        <v>LE9012032757,</v>
      </c>
    </row>
    <row r="1234" spans="3:4">
      <c r="C1234" t="s">
        <v>1927</v>
      </c>
      <c r="D1234" t="str">
        <f t="shared" si="20"/>
        <v>WZ7504152093,</v>
      </c>
    </row>
    <row r="1235" spans="3:4">
      <c r="C1235" t="s">
        <v>3284</v>
      </c>
      <c r="D1235" t="str">
        <f t="shared" si="20"/>
        <v>KI9012028319,</v>
      </c>
    </row>
    <row r="1236" spans="3:4">
      <c r="C1236" t="s">
        <v>1926</v>
      </c>
      <c r="D1236" t="str">
        <f t="shared" si="20"/>
        <v>KI9012043622,</v>
      </c>
    </row>
    <row r="1237" spans="3:4">
      <c r="C1237" t="s">
        <v>2117</v>
      </c>
      <c r="D1237" t="str">
        <f t="shared" si="20"/>
        <v>LE9012019964,</v>
      </c>
    </row>
    <row r="1238" spans="3:4">
      <c r="C1238" t="s">
        <v>2026</v>
      </c>
      <c r="D1238" t="str">
        <f t="shared" si="20"/>
        <v>UE7503405621,</v>
      </c>
    </row>
    <row r="1239" spans="3:4">
      <c r="C1239" t="s">
        <v>2146</v>
      </c>
      <c r="D1239" t="str">
        <f t="shared" si="20"/>
        <v>KI9012037910,</v>
      </c>
    </row>
    <row r="1240" spans="3:4">
      <c r="C1240" t="s">
        <v>2064</v>
      </c>
      <c r="D1240" t="str">
        <f t="shared" si="20"/>
        <v>FS7512144448,</v>
      </c>
    </row>
    <row r="1241" spans="3:4">
      <c r="C1241" t="s">
        <v>2096</v>
      </c>
      <c r="D1241" t="str">
        <f t="shared" si="20"/>
        <v>KI7508848895,</v>
      </c>
    </row>
    <row r="1242" spans="3:4">
      <c r="C1242" t="s">
        <v>1969</v>
      </c>
      <c r="D1242" t="str">
        <f t="shared" si="20"/>
        <v>KI9012023236,</v>
      </c>
    </row>
    <row r="1243" spans="3:4">
      <c r="C1243" t="s">
        <v>3285</v>
      </c>
      <c r="D1243" t="str">
        <f t="shared" si="20"/>
        <v>LE9012039002,</v>
      </c>
    </row>
    <row r="1244" spans="3:4">
      <c r="C1244" t="s">
        <v>3286</v>
      </c>
      <c r="D1244" t="str">
        <f t="shared" si="20"/>
        <v>SA7514076943,</v>
      </c>
    </row>
    <row r="1245" spans="3:4">
      <c r="C1245" t="s">
        <v>2101</v>
      </c>
      <c r="D1245" t="str">
        <f t="shared" si="20"/>
        <v>KI7508788742,</v>
      </c>
    </row>
    <row r="1246" spans="3:4">
      <c r="C1246" t="s">
        <v>3287</v>
      </c>
      <c r="D1246" t="str">
        <f t="shared" si="20"/>
        <v>KI9012061818,</v>
      </c>
    </row>
    <row r="1247" spans="3:4">
      <c r="C1247" t="s">
        <v>2097</v>
      </c>
      <c r="D1247" t="str">
        <f t="shared" ref="D1247:D1310" si="21">""&amp;C1247&amp;","</f>
        <v>KI9012135853,</v>
      </c>
    </row>
    <row r="1248" spans="3:4">
      <c r="C1248" t="s">
        <v>3288</v>
      </c>
      <c r="D1248" t="str">
        <f t="shared" si="21"/>
        <v>KI7508825215,</v>
      </c>
    </row>
    <row r="1249" spans="3:4">
      <c r="C1249" t="s">
        <v>3289</v>
      </c>
      <c r="D1249" t="str">
        <f t="shared" si="21"/>
        <v>KI7508879512,</v>
      </c>
    </row>
    <row r="1250" spans="3:4">
      <c r="C1250" t="s">
        <v>3290</v>
      </c>
      <c r="D1250" t="str">
        <f t="shared" si="21"/>
        <v>LE9012040431,</v>
      </c>
    </row>
    <row r="1251" spans="3:4">
      <c r="C1251" t="s">
        <v>2056</v>
      </c>
      <c r="D1251" t="str">
        <f t="shared" si="21"/>
        <v>AB7507599109,</v>
      </c>
    </row>
    <row r="1252" spans="3:4">
      <c r="C1252" t="s">
        <v>1976</v>
      </c>
      <c r="D1252" t="str">
        <f t="shared" si="21"/>
        <v>FS9012037323,</v>
      </c>
    </row>
    <row r="1253" spans="3:4">
      <c r="C1253" t="s">
        <v>2074</v>
      </c>
      <c r="D1253" t="str">
        <f t="shared" si="21"/>
        <v>KI7508568450,</v>
      </c>
    </row>
    <row r="1254" spans="3:4">
      <c r="C1254" t="s">
        <v>2022</v>
      </c>
      <c r="D1254" t="str">
        <f t="shared" si="21"/>
        <v>KI9012024416,</v>
      </c>
    </row>
    <row r="1255" spans="3:4">
      <c r="C1255" t="s">
        <v>3291</v>
      </c>
      <c r="D1255" t="str">
        <f t="shared" si="21"/>
        <v>KI9012052463,</v>
      </c>
    </row>
    <row r="1256" spans="3:4">
      <c r="C1256" t="s">
        <v>2061</v>
      </c>
      <c r="D1256" t="str">
        <f t="shared" si="21"/>
        <v>LE7508497662,</v>
      </c>
    </row>
    <row r="1257" spans="3:4">
      <c r="C1257" t="s">
        <v>1928</v>
      </c>
      <c r="D1257" t="str">
        <f t="shared" si="21"/>
        <v>LE9012012302,</v>
      </c>
    </row>
    <row r="1258" spans="3:4">
      <c r="C1258" t="s">
        <v>3292</v>
      </c>
      <c r="D1258" t="str">
        <f t="shared" si="21"/>
        <v>LE9012033190,</v>
      </c>
    </row>
    <row r="1259" spans="3:4">
      <c r="C1259" t="s">
        <v>2089</v>
      </c>
      <c r="D1259" t="str">
        <f t="shared" si="21"/>
        <v>NO9011923073,</v>
      </c>
    </row>
    <row r="1260" spans="3:4">
      <c r="C1260" t="s">
        <v>2054</v>
      </c>
      <c r="D1260" t="str">
        <f t="shared" si="21"/>
        <v>FS9012037636,</v>
      </c>
    </row>
    <row r="1261" spans="3:4">
      <c r="C1261" t="s">
        <v>3293</v>
      </c>
      <c r="D1261" t="str">
        <f t="shared" si="21"/>
        <v>KI7508878875,</v>
      </c>
    </row>
    <row r="1262" spans="3:4">
      <c r="C1262" t="s">
        <v>1948</v>
      </c>
      <c r="D1262" t="str">
        <f t="shared" si="21"/>
        <v>KI9012023006,</v>
      </c>
    </row>
    <row r="1263" spans="3:4">
      <c r="C1263" t="s">
        <v>2001</v>
      </c>
      <c r="D1263" t="str">
        <f t="shared" si="21"/>
        <v>KI9012037945,</v>
      </c>
    </row>
    <row r="1264" spans="3:4">
      <c r="C1264" t="s">
        <v>2203</v>
      </c>
      <c r="D1264" t="str">
        <f t="shared" si="21"/>
        <v>LE9012025562,</v>
      </c>
    </row>
    <row r="1265" spans="3:4">
      <c r="C1265" t="s">
        <v>3294</v>
      </c>
      <c r="D1265" t="str">
        <f t="shared" si="21"/>
        <v>LE9012047218,</v>
      </c>
    </row>
    <row r="1266" spans="3:4">
      <c r="C1266" t="s">
        <v>3295</v>
      </c>
      <c r="D1266" t="str">
        <f t="shared" si="21"/>
        <v>FS7512160742,</v>
      </c>
    </row>
    <row r="1267" spans="3:4">
      <c r="C1267" t="s">
        <v>3296</v>
      </c>
      <c r="D1267" t="str">
        <f t="shared" si="21"/>
        <v>KI7508884019,</v>
      </c>
    </row>
    <row r="1268" spans="3:4">
      <c r="C1268" t="s">
        <v>3297</v>
      </c>
      <c r="D1268" t="str">
        <f t="shared" si="21"/>
        <v>KI9012028515,</v>
      </c>
    </row>
    <row r="1269" spans="3:4">
      <c r="C1269" t="s">
        <v>2068</v>
      </c>
      <c r="D1269" t="str">
        <f t="shared" si="21"/>
        <v>OK7514466883,</v>
      </c>
    </row>
    <row r="1270" spans="3:4">
      <c r="C1270" t="s">
        <v>3298</v>
      </c>
      <c r="D1270" t="str">
        <f t="shared" si="21"/>
        <v>CH7503638908,</v>
      </c>
    </row>
    <row r="1271" spans="3:4">
      <c r="C1271" t="s">
        <v>1997</v>
      </c>
      <c r="D1271" t="str">
        <f t="shared" si="21"/>
        <v>KI7508831271,</v>
      </c>
    </row>
    <row r="1272" spans="3:4">
      <c r="C1272" t="s">
        <v>2016</v>
      </c>
      <c r="D1272" t="str">
        <f t="shared" si="21"/>
        <v>KI9012037503,</v>
      </c>
    </row>
    <row r="1273" spans="3:4">
      <c r="C1273" t="s">
        <v>1963</v>
      </c>
      <c r="D1273" t="str">
        <f t="shared" si="21"/>
        <v>LE0060896768,</v>
      </c>
    </row>
    <row r="1274" spans="3:4">
      <c r="C1274" t="s">
        <v>3299</v>
      </c>
      <c r="D1274" t="str">
        <f t="shared" si="21"/>
        <v>LE0060897709,</v>
      </c>
    </row>
    <row r="1275" spans="3:4">
      <c r="C1275" t="s">
        <v>2234</v>
      </c>
      <c r="D1275" t="str">
        <f t="shared" si="21"/>
        <v>LE7510112801,</v>
      </c>
    </row>
    <row r="1276" spans="3:4">
      <c r="C1276" t="s">
        <v>2219</v>
      </c>
      <c r="D1276" t="str">
        <f t="shared" si="21"/>
        <v>RW7507304160,</v>
      </c>
    </row>
    <row r="1277" spans="3:4">
      <c r="C1277" t="s">
        <v>3300</v>
      </c>
      <c r="D1277" t="str">
        <f t="shared" si="21"/>
        <v>FS7512146545,</v>
      </c>
    </row>
    <row r="1278" spans="3:4">
      <c r="C1278" t="s">
        <v>3301</v>
      </c>
      <c r="D1278" t="str">
        <f t="shared" si="21"/>
        <v>KI7508795553,</v>
      </c>
    </row>
    <row r="1279" spans="3:4">
      <c r="C1279" t="s">
        <v>3302</v>
      </c>
      <c r="D1279" t="str">
        <f t="shared" si="21"/>
        <v>KI7508852292,</v>
      </c>
    </row>
    <row r="1280" spans="3:4">
      <c r="C1280" t="s">
        <v>3303</v>
      </c>
      <c r="D1280" t="str">
        <f t="shared" si="21"/>
        <v>LE7510093062,</v>
      </c>
    </row>
    <row r="1281" spans="3:4">
      <c r="C1281" t="s">
        <v>3304</v>
      </c>
      <c r="D1281" t="str">
        <f t="shared" si="21"/>
        <v>LE7510109057,</v>
      </c>
    </row>
    <row r="1282" spans="3:4">
      <c r="C1282" t="s">
        <v>3305</v>
      </c>
      <c r="D1282" t="str">
        <f t="shared" si="21"/>
        <v>LE7510166053,</v>
      </c>
    </row>
    <row r="1283" spans="3:4">
      <c r="C1283" t="s">
        <v>3306</v>
      </c>
      <c r="D1283" t="str">
        <f t="shared" si="21"/>
        <v>LE9012060371,</v>
      </c>
    </row>
    <row r="1284" spans="3:4">
      <c r="C1284" t="s">
        <v>3307</v>
      </c>
      <c r="D1284" t="str">
        <f t="shared" si="21"/>
        <v>BW7513893516,</v>
      </c>
    </row>
    <row r="1285" spans="3:4">
      <c r="C1285" t="s">
        <v>3308</v>
      </c>
      <c r="D1285" t="str">
        <f t="shared" si="21"/>
        <v>KI7508880689,</v>
      </c>
    </row>
    <row r="1286" spans="3:4">
      <c r="C1286" t="s">
        <v>3309</v>
      </c>
      <c r="D1286" t="str">
        <f t="shared" si="21"/>
        <v>CC7503198381,</v>
      </c>
    </row>
    <row r="1287" spans="3:4">
      <c r="C1287" t="s">
        <v>3310</v>
      </c>
      <c r="D1287" t="str">
        <f t="shared" si="21"/>
        <v>FS7512178502,</v>
      </c>
    </row>
    <row r="1288" spans="3:4">
      <c r="C1288" t="s">
        <v>3311</v>
      </c>
      <c r="D1288" t="str">
        <f t="shared" si="21"/>
        <v>FS7512186934,</v>
      </c>
    </row>
    <row r="1289" spans="3:4">
      <c r="C1289" t="s">
        <v>3312</v>
      </c>
      <c r="D1289" t="str">
        <f t="shared" si="21"/>
        <v>JG7503726732,</v>
      </c>
    </row>
    <row r="1290" spans="3:4">
      <c r="C1290" t="s">
        <v>3313</v>
      </c>
      <c r="D1290" t="str">
        <f t="shared" si="21"/>
        <v>JR7513596608,</v>
      </c>
    </row>
    <row r="1291" spans="3:4">
      <c r="C1291" t="s">
        <v>3314</v>
      </c>
      <c r="D1291" t="str">
        <f t="shared" si="21"/>
        <v>KA7513713444,</v>
      </c>
    </row>
    <row r="1292" spans="3:4">
      <c r="C1292" t="s">
        <v>3315</v>
      </c>
      <c r="D1292" t="str">
        <f t="shared" si="21"/>
        <v>KI7500322464,</v>
      </c>
    </row>
    <row r="1293" spans="3:4">
      <c r="C1293" t="s">
        <v>3316</v>
      </c>
      <c r="D1293" t="str">
        <f t="shared" si="21"/>
        <v>KI7500322947,</v>
      </c>
    </row>
    <row r="1294" spans="3:4">
      <c r="C1294" t="s">
        <v>3317</v>
      </c>
      <c r="D1294" t="str">
        <f t="shared" si="21"/>
        <v>KI7500326280,</v>
      </c>
    </row>
    <row r="1295" spans="3:4">
      <c r="C1295" t="s">
        <v>3318</v>
      </c>
      <c r="D1295" t="str">
        <f t="shared" si="21"/>
        <v>KI7508866853,</v>
      </c>
    </row>
    <row r="1296" spans="3:4">
      <c r="C1296" t="s">
        <v>3319</v>
      </c>
      <c r="D1296" t="str">
        <f t="shared" si="21"/>
        <v>KI7508899789,</v>
      </c>
    </row>
    <row r="1297" spans="3:4">
      <c r="C1297" t="s">
        <v>3320</v>
      </c>
      <c r="D1297" t="str">
        <f t="shared" si="21"/>
        <v>KI7508900650,</v>
      </c>
    </row>
    <row r="1298" spans="3:4">
      <c r="C1298" t="s">
        <v>3321</v>
      </c>
      <c r="D1298" t="str">
        <f t="shared" si="21"/>
        <v>KI7508906075,</v>
      </c>
    </row>
    <row r="1299" spans="3:4">
      <c r="C1299" t="s">
        <v>3322</v>
      </c>
      <c r="D1299" t="str">
        <f t="shared" si="21"/>
        <v>KI7508915278,</v>
      </c>
    </row>
    <row r="1300" spans="3:4">
      <c r="C1300" t="s">
        <v>3323</v>
      </c>
      <c r="D1300" t="str">
        <f t="shared" si="21"/>
        <v>KI7508931169,</v>
      </c>
    </row>
    <row r="1301" spans="3:4">
      <c r="C1301" t="s">
        <v>3324</v>
      </c>
      <c r="D1301" t="str">
        <f t="shared" si="21"/>
        <v>KI7508933679,</v>
      </c>
    </row>
    <row r="1302" spans="3:4">
      <c r="C1302" t="s">
        <v>3325</v>
      </c>
      <c r="D1302" t="str">
        <f t="shared" si="21"/>
        <v>KI7508934036,</v>
      </c>
    </row>
    <row r="1303" spans="3:4">
      <c r="C1303" t="s">
        <v>3326</v>
      </c>
      <c r="D1303" t="str">
        <f t="shared" si="21"/>
        <v>KI7508947123,</v>
      </c>
    </row>
    <row r="1304" spans="3:4">
      <c r="C1304" t="s">
        <v>3327</v>
      </c>
      <c r="D1304" t="str">
        <f t="shared" si="21"/>
        <v>KI7508973186,</v>
      </c>
    </row>
    <row r="1305" spans="3:4">
      <c r="C1305" t="s">
        <v>3328</v>
      </c>
      <c r="D1305" t="str">
        <f t="shared" si="21"/>
        <v>LE7510125972,</v>
      </c>
    </row>
    <row r="1306" spans="3:4">
      <c r="C1306" t="s">
        <v>3329</v>
      </c>
      <c r="D1306" t="str">
        <f t="shared" si="21"/>
        <v>LY7507588656,</v>
      </c>
    </row>
    <row r="1307" spans="3:4">
      <c r="C1307" t="s">
        <v>3330</v>
      </c>
      <c r="D1307" t="str">
        <f t="shared" si="21"/>
        <v>PD9011933297,</v>
      </c>
    </row>
    <row r="1308" spans="3:4">
      <c r="C1308" t="s">
        <v>3331</v>
      </c>
      <c r="D1308" t="str">
        <f t="shared" si="21"/>
        <v>RW7502481901,</v>
      </c>
    </row>
    <row r="1309" spans="3:4">
      <c r="C1309" t="s">
        <v>3332</v>
      </c>
      <c r="D1309" t="str">
        <f t="shared" si="21"/>
        <v>SA7514080210,</v>
      </c>
    </row>
    <row r="1310" spans="3:4">
      <c r="C1310" t="s">
        <v>3333</v>
      </c>
      <c r="D1310" t="str">
        <f t="shared" si="21"/>
        <v>SA7514080939,</v>
      </c>
    </row>
    <row r="1311" spans="3:4">
      <c r="C1311" t="s">
        <v>3334</v>
      </c>
      <c r="D1311" t="str">
        <f t="shared" ref="D1311:D1374" si="22">""&amp;C1311&amp;","</f>
        <v>SA7514080990,</v>
      </c>
    </row>
    <row r="1312" spans="3:4">
      <c r="C1312" t="s">
        <v>3335</v>
      </c>
      <c r="D1312" t="str">
        <f t="shared" si="22"/>
        <v>SL7507529684,</v>
      </c>
    </row>
    <row r="1313" spans="3:4">
      <c r="C1313" t="s">
        <v>3336</v>
      </c>
      <c r="D1313" t="str">
        <f t="shared" si="22"/>
        <v>KI7500323733,</v>
      </c>
    </row>
    <row r="1314" spans="3:4">
      <c r="C1314" t="s">
        <v>3337</v>
      </c>
      <c r="D1314" t="str">
        <f t="shared" si="22"/>
        <v>KI7508943326,</v>
      </c>
    </row>
    <row r="1315" spans="3:4">
      <c r="C1315" t="s">
        <v>3338</v>
      </c>
      <c r="D1315" t="str">
        <f t="shared" si="22"/>
        <v>LE7508452607,</v>
      </c>
    </row>
    <row r="1316" spans="3:4">
      <c r="C1316" t="s">
        <v>3339</v>
      </c>
      <c r="D1316" t="str">
        <f t="shared" si="22"/>
        <v>LE7510127727,</v>
      </c>
    </row>
    <row r="1317" spans="3:4">
      <c r="C1317" t="s">
        <v>3340</v>
      </c>
      <c r="D1317" t="str">
        <f t="shared" si="22"/>
        <v>LE7510158114,</v>
      </c>
    </row>
    <row r="1318" spans="3:4">
      <c r="C1318" t="s">
        <v>3341</v>
      </c>
      <c r="D1318" t="str">
        <f t="shared" si="22"/>
        <v>LE7510162020,</v>
      </c>
    </row>
    <row r="1319" spans="3:4">
      <c r="C1319" t="s">
        <v>3342</v>
      </c>
      <c r="D1319" t="str">
        <f t="shared" si="22"/>
        <v>LE7510166239,</v>
      </c>
    </row>
    <row r="1320" spans="3:4">
      <c r="C1320" t="s">
        <v>3343</v>
      </c>
      <c r="D1320" t="str">
        <f t="shared" si="22"/>
        <v>RY7506830821,</v>
      </c>
    </row>
    <row r="1321" spans="3:4">
      <c r="C1321" t="s">
        <v>3344</v>
      </c>
      <c r="D1321" t="str">
        <f t="shared" si="22"/>
        <v>SA7514078160,</v>
      </c>
    </row>
    <row r="1322" spans="3:4">
      <c r="C1322" t="s">
        <v>3345</v>
      </c>
      <c r="D1322" t="str">
        <f t="shared" si="22"/>
        <v>DA7507836039,</v>
      </c>
    </row>
    <row r="1323" spans="3:4">
      <c r="C1323" t="s">
        <v>3346</v>
      </c>
      <c r="D1323" t="str">
        <f t="shared" si="22"/>
        <v>ID7512542956,</v>
      </c>
    </row>
    <row r="1324" spans="3:4">
      <c r="C1324" t="s">
        <v>3347</v>
      </c>
      <c r="D1324" t="str">
        <f t="shared" si="22"/>
        <v>KI7508888460,</v>
      </c>
    </row>
    <row r="1325" spans="3:4">
      <c r="C1325" t="s">
        <v>3348</v>
      </c>
      <c r="D1325" t="str">
        <f t="shared" si="22"/>
        <v>KI7508927974,</v>
      </c>
    </row>
    <row r="1326" spans="3:4">
      <c r="C1326" t="s">
        <v>3349</v>
      </c>
      <c r="D1326" t="str">
        <f t="shared" si="22"/>
        <v>KI7508932586,</v>
      </c>
    </row>
    <row r="1327" spans="3:4">
      <c r="C1327" t="s">
        <v>3350</v>
      </c>
      <c r="D1327" t="str">
        <f t="shared" si="22"/>
        <v>KI7508936279,</v>
      </c>
    </row>
    <row r="1328" spans="3:4">
      <c r="C1328" t="s">
        <v>3351</v>
      </c>
      <c r="D1328" t="str">
        <f t="shared" si="22"/>
        <v>LE7510095002,</v>
      </c>
    </row>
    <row r="1329" spans="3:4">
      <c r="C1329" t="s">
        <v>3352</v>
      </c>
      <c r="D1329" t="str">
        <f t="shared" si="22"/>
        <v>LE7510169421,</v>
      </c>
    </row>
    <row r="1330" spans="3:4">
      <c r="C1330" t="s">
        <v>3353</v>
      </c>
      <c r="D1330" t="str">
        <f t="shared" si="22"/>
        <v>MN7513090531,</v>
      </c>
    </row>
    <row r="1331" spans="3:4">
      <c r="C1331" t="s">
        <v>3354</v>
      </c>
      <c r="D1331" t="str">
        <f t="shared" si="22"/>
        <v>GW7514770312,</v>
      </c>
    </row>
    <row r="1332" spans="3:4">
      <c r="C1332" t="s">
        <v>3355</v>
      </c>
      <c r="D1332" t="str">
        <f t="shared" si="22"/>
        <v>HD7514720518,</v>
      </c>
    </row>
    <row r="1333" spans="3:4">
      <c r="C1333" t="s">
        <v>3356</v>
      </c>
      <c r="D1333" t="str">
        <f t="shared" si="22"/>
        <v>HD7514722584,</v>
      </c>
    </row>
    <row r="1334" spans="3:4">
      <c r="C1334" t="s">
        <v>3357</v>
      </c>
      <c r="D1334" t="str">
        <f t="shared" si="22"/>
        <v>ID7512542124,</v>
      </c>
    </row>
    <row r="1335" spans="3:4">
      <c r="C1335" t="s">
        <v>3358</v>
      </c>
      <c r="D1335" t="str">
        <f t="shared" si="22"/>
        <v>ID7512543087,</v>
      </c>
    </row>
    <row r="1336" spans="3:4">
      <c r="C1336" t="s">
        <v>3359</v>
      </c>
      <c r="D1336" t="str">
        <f t="shared" si="22"/>
        <v>KI7508880636,</v>
      </c>
    </row>
    <row r="1337" spans="3:4">
      <c r="C1337" t="s">
        <v>3360</v>
      </c>
      <c r="D1337" t="str">
        <f t="shared" si="22"/>
        <v>KI7508912653,</v>
      </c>
    </row>
    <row r="1338" spans="3:4">
      <c r="C1338" t="s">
        <v>3361</v>
      </c>
      <c r="D1338" t="str">
        <f t="shared" si="22"/>
        <v>KI7508913026,</v>
      </c>
    </row>
    <row r="1339" spans="3:4">
      <c r="C1339" t="s">
        <v>3362</v>
      </c>
      <c r="D1339" t="str">
        <f t="shared" si="22"/>
        <v>KI7508918610,</v>
      </c>
    </row>
    <row r="1340" spans="3:4">
      <c r="C1340" t="s">
        <v>3363</v>
      </c>
      <c r="D1340" t="str">
        <f t="shared" si="22"/>
        <v>KI7508924370,</v>
      </c>
    </row>
    <row r="1341" spans="3:4">
      <c r="C1341" t="s">
        <v>3364</v>
      </c>
      <c r="D1341" t="str">
        <f t="shared" si="22"/>
        <v>KI7508929756,</v>
      </c>
    </row>
    <row r="1342" spans="3:4">
      <c r="C1342" t="s">
        <v>3365</v>
      </c>
      <c r="D1342" t="str">
        <f t="shared" si="22"/>
        <v>KI7508945282,</v>
      </c>
    </row>
    <row r="1343" spans="3:4">
      <c r="C1343" t="s">
        <v>3366</v>
      </c>
      <c r="D1343" t="str">
        <f t="shared" si="22"/>
        <v>KI7508954122,</v>
      </c>
    </row>
    <row r="1344" spans="3:4">
      <c r="C1344" t="s">
        <v>3367</v>
      </c>
      <c r="D1344" t="str">
        <f t="shared" si="22"/>
        <v>KI7508955316,</v>
      </c>
    </row>
    <row r="1345" spans="3:4">
      <c r="C1345" t="s">
        <v>3368</v>
      </c>
      <c r="D1345" t="str">
        <f t="shared" si="22"/>
        <v>KI7508965901,</v>
      </c>
    </row>
    <row r="1346" spans="3:4">
      <c r="C1346" t="s">
        <v>3369</v>
      </c>
      <c r="D1346" t="str">
        <f t="shared" si="22"/>
        <v>AM7513777544,</v>
      </c>
    </row>
    <row r="1347" spans="3:4">
      <c r="C1347" t="s">
        <v>3370</v>
      </c>
      <c r="D1347" t="str">
        <f t="shared" si="22"/>
        <v>AP7504159988,</v>
      </c>
    </row>
    <row r="1348" spans="3:4">
      <c r="C1348" t="s">
        <v>3371</v>
      </c>
      <c r="D1348" t="str">
        <f t="shared" si="22"/>
        <v>FS7512389817,</v>
      </c>
    </row>
    <row r="1349" spans="3:4">
      <c r="C1349" t="s">
        <v>3372</v>
      </c>
      <c r="D1349" t="str">
        <f t="shared" si="22"/>
        <v>FS7512389847,</v>
      </c>
    </row>
    <row r="1350" spans="3:4">
      <c r="C1350" t="s">
        <v>3373</v>
      </c>
      <c r="D1350" t="str">
        <f t="shared" si="22"/>
        <v>ID7512540085,</v>
      </c>
    </row>
    <row r="1351" spans="3:4">
      <c r="C1351" t="s">
        <v>3374</v>
      </c>
      <c r="D1351" t="str">
        <f t="shared" si="22"/>
        <v>JG7503726836,</v>
      </c>
    </row>
    <row r="1352" spans="3:4">
      <c r="C1352" t="s">
        <v>3375</v>
      </c>
      <c r="D1352" t="str">
        <f t="shared" si="22"/>
        <v>JG7503727177,</v>
      </c>
    </row>
    <row r="1353" spans="3:4">
      <c r="C1353" t="s">
        <v>3376</v>
      </c>
      <c r="D1353" t="str">
        <f t="shared" si="22"/>
        <v>KI7500322244,</v>
      </c>
    </row>
    <row r="1354" spans="3:4">
      <c r="C1354" t="s">
        <v>3377</v>
      </c>
      <c r="D1354" t="str">
        <f t="shared" si="22"/>
        <v>KI7500323192,</v>
      </c>
    </row>
    <row r="1355" spans="3:4">
      <c r="C1355" t="s">
        <v>3378</v>
      </c>
      <c r="D1355" t="str">
        <f t="shared" si="22"/>
        <v>KI7508906257,</v>
      </c>
    </row>
    <row r="1356" spans="3:4">
      <c r="C1356" t="s">
        <v>3379</v>
      </c>
      <c r="D1356" t="str">
        <f t="shared" si="22"/>
        <v>KI7508909409,</v>
      </c>
    </row>
    <row r="1357" spans="3:4">
      <c r="C1357" t="s">
        <v>3380</v>
      </c>
      <c r="D1357" t="str">
        <f t="shared" si="22"/>
        <v>KI7508912940,</v>
      </c>
    </row>
    <row r="1358" spans="3:4">
      <c r="C1358" t="s">
        <v>3381</v>
      </c>
      <c r="D1358" t="str">
        <f t="shared" si="22"/>
        <v>KI7508926147,</v>
      </c>
    </row>
    <row r="1359" spans="3:4">
      <c r="C1359" t="s">
        <v>3382</v>
      </c>
      <c r="D1359" t="str">
        <f t="shared" si="22"/>
        <v>KI7508930377,</v>
      </c>
    </row>
    <row r="1360" spans="3:4">
      <c r="C1360" t="s">
        <v>3383</v>
      </c>
      <c r="D1360" t="str">
        <f t="shared" si="22"/>
        <v>KI7508954143,</v>
      </c>
    </row>
    <row r="1361" spans="3:4">
      <c r="C1361" t="s">
        <v>3384</v>
      </c>
      <c r="D1361" t="str">
        <f t="shared" si="22"/>
        <v>LE7510162417,</v>
      </c>
    </row>
    <row r="1362" spans="3:4">
      <c r="C1362" t="s">
        <v>2165</v>
      </c>
      <c r="D1362" t="str">
        <f t="shared" si="22"/>
        <v>BW7513891591,</v>
      </c>
    </row>
    <row r="1363" spans="3:4">
      <c r="C1363" t="s">
        <v>2153</v>
      </c>
      <c r="D1363" t="str">
        <f t="shared" si="22"/>
        <v>FS7512152387,</v>
      </c>
    </row>
    <row r="1364" spans="3:4">
      <c r="C1364" t="s">
        <v>3385</v>
      </c>
      <c r="D1364" t="str">
        <f t="shared" si="22"/>
        <v>KI7508803782,</v>
      </c>
    </row>
    <row r="1365" spans="3:4">
      <c r="C1365" t="s">
        <v>3386</v>
      </c>
      <c r="D1365" t="str">
        <f t="shared" si="22"/>
        <v>TH9011809492,</v>
      </c>
    </row>
    <row r="1366" spans="3:4">
      <c r="C1366" t="s">
        <v>3387</v>
      </c>
      <c r="D1366" t="str">
        <f t="shared" si="22"/>
        <v>FJ0126211356,</v>
      </c>
    </row>
    <row r="1367" spans="3:4">
      <c r="C1367" t="s">
        <v>3388</v>
      </c>
      <c r="D1367" t="str">
        <f t="shared" si="22"/>
        <v>KI0724231569,</v>
      </c>
    </row>
    <row r="1368" spans="3:4">
      <c r="C1368" t="s">
        <v>3389</v>
      </c>
      <c r="D1368" t="str">
        <f t="shared" si="22"/>
        <v>FS0751218300,</v>
      </c>
    </row>
    <row r="1369" spans="3:4">
      <c r="C1369" t="s">
        <v>3390</v>
      </c>
      <c r="D1369" t="str">
        <f t="shared" si="22"/>
        <v>AT7504326552,</v>
      </c>
    </row>
    <row r="1370" spans="3:4">
      <c r="C1370" t="s">
        <v>3391</v>
      </c>
      <c r="D1370" t="str">
        <f t="shared" si="22"/>
        <v>KI0043574735,</v>
      </c>
    </row>
    <row r="1371" spans="3:4">
      <c r="C1371" t="s">
        <v>3392</v>
      </c>
      <c r="D1371" t="str">
        <f t="shared" si="22"/>
        <v>KI0750032312,</v>
      </c>
    </row>
    <row r="1372" spans="3:4">
      <c r="C1372" t="s">
        <v>3393</v>
      </c>
      <c r="D1372" t="str">
        <f t="shared" si="22"/>
        <v>KI0485864254,</v>
      </c>
    </row>
    <row r="1373" spans="3:4">
      <c r="C1373" t="s">
        <v>3394</v>
      </c>
      <c r="D1373" t="str">
        <f t="shared" si="22"/>
        <v>KI0043577762,</v>
      </c>
    </row>
    <row r="1374" spans="3:4">
      <c r="C1374" t="s">
        <v>3395</v>
      </c>
      <c r="D1374" t="str">
        <f t="shared" si="22"/>
        <v>KI0717911675,</v>
      </c>
    </row>
    <row r="1375" spans="3:4">
      <c r="C1375" t="s">
        <v>3396</v>
      </c>
      <c r="D1375" t="str">
        <f t="shared" ref="D1375:D1438" si="23">""&amp;C1375&amp;","</f>
        <v>KI0723312273,</v>
      </c>
    </row>
    <row r="1376" spans="3:4">
      <c r="C1376" t="s">
        <v>3397</v>
      </c>
      <c r="D1376" t="str">
        <f t="shared" si="23"/>
        <v>SK0122348432,</v>
      </c>
    </row>
    <row r="1377" spans="3:4">
      <c r="C1377" t="s">
        <v>3398</v>
      </c>
      <c r="D1377" t="str">
        <f t="shared" si="23"/>
        <v>KI7500328210,</v>
      </c>
    </row>
    <row r="1378" spans="3:4">
      <c r="C1378" t="s">
        <v>3399</v>
      </c>
      <c r="D1378" t="str">
        <f t="shared" si="23"/>
        <v>FS0751219535,</v>
      </c>
    </row>
    <row r="1379" spans="3:4">
      <c r="C1379" t="s">
        <v>3400</v>
      </c>
      <c r="D1379" t="str">
        <f t="shared" si="23"/>
        <v>PT0701806194,</v>
      </c>
    </row>
    <row r="1380" spans="3:4">
      <c r="C1380" t="s">
        <v>3401</v>
      </c>
      <c r="D1380" t="str">
        <f t="shared" si="23"/>
        <v>KI7508980680,</v>
      </c>
    </row>
    <row r="1381" spans="3:4">
      <c r="C1381" t="s">
        <v>3402</v>
      </c>
      <c r="D1381" t="str">
        <f t="shared" si="23"/>
        <v>ID9012076199,</v>
      </c>
    </row>
    <row r="1382" spans="3:4">
      <c r="C1382" t="s">
        <v>3403</v>
      </c>
      <c r="D1382" t="str">
        <f t="shared" si="23"/>
        <v>TP0708637083,</v>
      </c>
    </row>
    <row r="1383" spans="3:4">
      <c r="C1383" t="s">
        <v>3404</v>
      </c>
      <c r="D1383" t="str">
        <f t="shared" si="23"/>
        <v>LE0394735424,</v>
      </c>
    </row>
    <row r="1384" spans="3:4">
      <c r="C1384" t="s">
        <v>3405</v>
      </c>
      <c r="D1384" t="str">
        <f t="shared" si="23"/>
        <v>LE7510168048,</v>
      </c>
    </row>
    <row r="1385" spans="3:4">
      <c r="C1385" t="s">
        <v>3406</v>
      </c>
      <c r="D1385" t="str">
        <f t="shared" si="23"/>
        <v>LE0717798587,</v>
      </c>
    </row>
    <row r="1386" spans="3:4">
      <c r="C1386" t="s">
        <v>3407</v>
      </c>
      <c r="D1386" t="str">
        <f t="shared" si="23"/>
        <v>LE7510182022,</v>
      </c>
    </row>
    <row r="1387" spans="3:4">
      <c r="C1387" t="s">
        <v>3408</v>
      </c>
      <c r="D1387" t="str">
        <f t="shared" si="23"/>
        <v>LE7510193940,</v>
      </c>
    </row>
    <row r="1388" spans="3:4">
      <c r="C1388" t="s">
        <v>3409</v>
      </c>
      <c r="D1388" t="str">
        <f t="shared" si="23"/>
        <v>LE7510175963,</v>
      </c>
    </row>
    <row r="1389" spans="3:4">
      <c r="C1389" t="s">
        <v>3410</v>
      </c>
      <c r="D1389" t="str">
        <f t="shared" si="23"/>
        <v>LE7510146187,</v>
      </c>
    </row>
    <row r="1390" spans="3:4">
      <c r="C1390" t="s">
        <v>3411</v>
      </c>
      <c r="D1390" t="str">
        <f t="shared" si="23"/>
        <v>LE7510139394,</v>
      </c>
    </row>
    <row r="1391" spans="3:4">
      <c r="C1391" t="s">
        <v>3412</v>
      </c>
      <c r="D1391" t="str">
        <f t="shared" si="23"/>
        <v>LE7510169226,</v>
      </c>
    </row>
    <row r="1392" spans="3:4">
      <c r="C1392" t="s">
        <v>3413</v>
      </c>
      <c r="D1392" t="str">
        <f t="shared" si="23"/>
        <v>SL9012090429,</v>
      </c>
    </row>
    <row r="1393" spans="3:4">
      <c r="C1393" t="s">
        <v>3414</v>
      </c>
      <c r="D1393" t="str">
        <f t="shared" si="23"/>
        <v>LE7510193683,</v>
      </c>
    </row>
    <row r="1394" spans="3:4">
      <c r="C1394" t="s">
        <v>3415</v>
      </c>
      <c r="D1394" t="str">
        <f t="shared" si="23"/>
        <v>SL7508019491,</v>
      </c>
    </row>
    <row r="1395" spans="3:4">
      <c r="C1395" t="s">
        <v>3416</v>
      </c>
      <c r="D1395" t="str">
        <f t="shared" si="23"/>
        <v>SL7507529900,</v>
      </c>
    </row>
    <row r="1396" spans="3:4">
      <c r="C1396" t="s">
        <v>3417</v>
      </c>
      <c r="D1396" t="str">
        <f t="shared" si="23"/>
        <v>SL7508019484,</v>
      </c>
    </row>
    <row r="1397" spans="3:4">
      <c r="C1397" t="s">
        <v>3418</v>
      </c>
      <c r="D1397" t="str">
        <f t="shared" si="23"/>
        <v>LE7510167220,</v>
      </c>
    </row>
    <row r="1398" spans="3:4">
      <c r="C1398" t="s">
        <v>3419</v>
      </c>
      <c r="D1398" t="str">
        <f t="shared" si="23"/>
        <v>LE7510175303,</v>
      </c>
    </row>
    <row r="1399" spans="3:4">
      <c r="C1399" t="s">
        <v>3420</v>
      </c>
      <c r="D1399" t="str">
        <f t="shared" si="23"/>
        <v>LE7510182206,</v>
      </c>
    </row>
    <row r="1400" spans="3:4">
      <c r="C1400" t="s">
        <v>3421</v>
      </c>
      <c r="D1400" t="str">
        <f t="shared" si="23"/>
        <v>LE7510183595,</v>
      </c>
    </row>
    <row r="1401" spans="3:4">
      <c r="C1401" t="s">
        <v>3422</v>
      </c>
      <c r="D1401" t="str">
        <f t="shared" si="23"/>
        <v>LE7510185549,</v>
      </c>
    </row>
    <row r="1402" spans="3:4">
      <c r="C1402" t="s">
        <v>3423</v>
      </c>
      <c r="D1402" t="str">
        <f t="shared" si="23"/>
        <v>ID9012088968,</v>
      </c>
    </row>
    <row r="1403" spans="3:4">
      <c r="C1403" t="s">
        <v>3424</v>
      </c>
      <c r="D1403" t="str">
        <f t="shared" si="23"/>
        <v>SA7514081853,</v>
      </c>
    </row>
    <row r="1404" spans="3:4">
      <c r="C1404" t="s">
        <v>3425</v>
      </c>
      <c r="D1404" t="str">
        <f t="shared" si="23"/>
        <v>ID9012088389,</v>
      </c>
    </row>
    <row r="1405" spans="3:4">
      <c r="C1405" t="s">
        <v>3426</v>
      </c>
      <c r="D1405" t="str">
        <f t="shared" si="23"/>
        <v>LO9011939769,</v>
      </c>
    </row>
    <row r="1406" spans="3:4">
      <c r="C1406" t="s">
        <v>3427</v>
      </c>
      <c r="D1406" t="str">
        <f t="shared" si="23"/>
        <v>ID7512550809,</v>
      </c>
    </row>
    <row r="1407" spans="3:4">
      <c r="C1407" t="s">
        <v>3428</v>
      </c>
      <c r="D1407" t="str">
        <f t="shared" si="23"/>
        <v>SA7514082305,</v>
      </c>
    </row>
    <row r="1408" spans="3:4">
      <c r="C1408" t="s">
        <v>3429</v>
      </c>
      <c r="D1408" t="str">
        <f t="shared" si="23"/>
        <v>ID9012085422,</v>
      </c>
    </row>
    <row r="1409" spans="3:4">
      <c r="C1409" t="s">
        <v>3430</v>
      </c>
      <c r="D1409" t="str">
        <f t="shared" si="23"/>
        <v>ID9011575383,</v>
      </c>
    </row>
    <row r="1410" spans="3:4">
      <c r="C1410" t="s">
        <v>3431</v>
      </c>
      <c r="D1410" t="str">
        <f t="shared" si="23"/>
        <v>ID9011575260,</v>
      </c>
    </row>
    <row r="1411" spans="3:4">
      <c r="C1411" t="s">
        <v>3432</v>
      </c>
      <c r="D1411" t="str">
        <f t="shared" si="23"/>
        <v>ID9012084119,</v>
      </c>
    </row>
    <row r="1412" spans="3:4">
      <c r="C1412" t="s">
        <v>3433</v>
      </c>
      <c r="D1412" t="str">
        <f t="shared" si="23"/>
        <v>KI9012057674,</v>
      </c>
    </row>
    <row r="1413" spans="3:4">
      <c r="C1413" t="s">
        <v>3434</v>
      </c>
      <c r="D1413" t="str">
        <f t="shared" si="23"/>
        <v>ID9011574976,</v>
      </c>
    </row>
    <row r="1414" spans="3:4">
      <c r="C1414" t="s">
        <v>3435</v>
      </c>
      <c r="D1414" t="str">
        <f t="shared" si="23"/>
        <v>ID9012083932,</v>
      </c>
    </row>
    <row r="1415" spans="3:4">
      <c r="C1415" t="s">
        <v>3436</v>
      </c>
      <c r="D1415" t="str">
        <f t="shared" si="23"/>
        <v>ID7512545611,</v>
      </c>
    </row>
    <row r="1416" spans="3:4">
      <c r="C1416" t="s">
        <v>3437</v>
      </c>
      <c r="D1416" t="str">
        <f t="shared" si="23"/>
        <v>ID9011574995,</v>
      </c>
    </row>
    <row r="1417" spans="3:4">
      <c r="C1417" t="s">
        <v>3438</v>
      </c>
      <c r="D1417" t="str">
        <f t="shared" si="23"/>
        <v>ID9012075195,</v>
      </c>
    </row>
    <row r="1418" spans="3:4">
      <c r="C1418" t="s">
        <v>3439</v>
      </c>
      <c r="D1418" t="str">
        <f t="shared" si="23"/>
        <v>ID9011576237,</v>
      </c>
    </row>
    <row r="1419" spans="3:4">
      <c r="C1419" t="s">
        <v>3440</v>
      </c>
      <c r="D1419" t="str">
        <f t="shared" si="23"/>
        <v>ID7512550568,</v>
      </c>
    </row>
    <row r="1420" spans="3:4">
      <c r="C1420" t="s">
        <v>3441</v>
      </c>
      <c r="D1420" t="str">
        <f t="shared" si="23"/>
        <v>ID9012085388,</v>
      </c>
    </row>
    <row r="1421" spans="3:4">
      <c r="C1421" t="s">
        <v>3442</v>
      </c>
      <c r="D1421" t="str">
        <f t="shared" si="23"/>
        <v>ID9012083979,</v>
      </c>
    </row>
    <row r="1422" spans="3:4">
      <c r="C1422" t="s">
        <v>3443</v>
      </c>
      <c r="D1422" t="str">
        <f t="shared" si="23"/>
        <v>ID7512549448,</v>
      </c>
    </row>
    <row r="1423" spans="3:4">
      <c r="C1423" t="s">
        <v>3444</v>
      </c>
      <c r="D1423" t="str">
        <f t="shared" si="23"/>
        <v>LQ7504019921,</v>
      </c>
    </row>
    <row r="1424" spans="3:4">
      <c r="C1424" t="s">
        <v>3445</v>
      </c>
      <c r="D1424" t="str">
        <f t="shared" si="23"/>
        <v>ID0060927617,</v>
      </c>
    </row>
    <row r="1425" spans="3:4">
      <c r="C1425" t="s">
        <v>3446</v>
      </c>
      <c r="D1425" t="str">
        <f t="shared" si="23"/>
        <v>ID9011940781,</v>
      </c>
    </row>
    <row r="1426" spans="3:4">
      <c r="C1426" t="s">
        <v>3447</v>
      </c>
      <c r="D1426" t="str">
        <f t="shared" si="23"/>
        <v>RW7515007039,</v>
      </c>
    </row>
    <row r="1427" spans="3:4">
      <c r="C1427" t="s">
        <v>3448</v>
      </c>
      <c r="D1427" t="str">
        <f t="shared" si="23"/>
        <v>ID7512548830,</v>
      </c>
    </row>
    <row r="1428" spans="3:4">
      <c r="C1428" t="s">
        <v>3449</v>
      </c>
      <c r="D1428" t="str">
        <f t="shared" si="23"/>
        <v>RW7515006669,</v>
      </c>
    </row>
    <row r="1429" spans="3:4">
      <c r="C1429" t="s">
        <v>3450</v>
      </c>
      <c r="D1429" t="str">
        <f t="shared" si="23"/>
        <v>LE9012073222,</v>
      </c>
    </row>
    <row r="1430" spans="3:4">
      <c r="C1430" t="s">
        <v>3451</v>
      </c>
      <c r="D1430" t="str">
        <f t="shared" si="23"/>
        <v>LE9012073712,</v>
      </c>
    </row>
    <row r="1431" spans="3:4">
      <c r="C1431" t="s">
        <v>3452</v>
      </c>
      <c r="D1431" t="str">
        <f t="shared" si="23"/>
        <v>ID7512550275,</v>
      </c>
    </row>
    <row r="1432" spans="3:4">
      <c r="C1432" t="s">
        <v>3453</v>
      </c>
      <c r="D1432" t="str">
        <f t="shared" si="23"/>
        <v>LE7510187835,</v>
      </c>
    </row>
    <row r="1433" spans="3:4">
      <c r="C1433" t="s">
        <v>3454</v>
      </c>
      <c r="D1433" t="str">
        <f t="shared" si="23"/>
        <v>LE7510183951,</v>
      </c>
    </row>
    <row r="1434" spans="3:4">
      <c r="C1434" t="s">
        <v>3455</v>
      </c>
      <c r="D1434" t="str">
        <f t="shared" si="23"/>
        <v>RW7515002026,</v>
      </c>
    </row>
    <row r="1435" spans="3:4">
      <c r="C1435" t="s">
        <v>3456</v>
      </c>
      <c r="D1435" t="str">
        <f t="shared" si="23"/>
        <v>RW7515002896,</v>
      </c>
    </row>
    <row r="1436" spans="3:4">
      <c r="C1436" t="s">
        <v>3457</v>
      </c>
      <c r="D1436" t="str">
        <f t="shared" si="23"/>
        <v>LE7510192288,</v>
      </c>
    </row>
    <row r="1437" spans="3:4">
      <c r="C1437" t="s">
        <v>3458</v>
      </c>
      <c r="D1437" t="str">
        <f t="shared" si="23"/>
        <v>KI7508950074,</v>
      </c>
    </row>
    <row r="1438" spans="3:4">
      <c r="C1438" t="s">
        <v>3459</v>
      </c>
      <c r="D1438" t="str">
        <f t="shared" si="23"/>
        <v>LE7510184968,</v>
      </c>
    </row>
    <row r="1439" spans="3:4">
      <c r="C1439" t="s">
        <v>3460</v>
      </c>
      <c r="D1439" t="str">
        <f t="shared" ref="D1439:D1502" si="24">""&amp;C1439&amp;","</f>
        <v>KI7508888318,</v>
      </c>
    </row>
    <row r="1440" spans="3:4">
      <c r="C1440" t="s">
        <v>3461</v>
      </c>
      <c r="D1440" t="str">
        <f t="shared" si="24"/>
        <v>LE7510178053,</v>
      </c>
    </row>
    <row r="1441" spans="3:4">
      <c r="C1441" t="s">
        <v>3462</v>
      </c>
      <c r="D1441" t="str">
        <f t="shared" si="24"/>
        <v>KI7509006397,</v>
      </c>
    </row>
    <row r="1442" spans="3:4">
      <c r="C1442" t="s">
        <v>3463</v>
      </c>
      <c r="D1442" t="str">
        <f t="shared" si="24"/>
        <v>KI7509008158,</v>
      </c>
    </row>
    <row r="1443" spans="3:4">
      <c r="C1443" t="s">
        <v>3464</v>
      </c>
      <c r="D1443" t="str">
        <f t="shared" si="24"/>
        <v>KI7508988237,</v>
      </c>
    </row>
    <row r="1444" spans="3:4">
      <c r="C1444" t="s">
        <v>3465</v>
      </c>
      <c r="D1444" t="str">
        <f t="shared" si="24"/>
        <v>KI7508952749,</v>
      </c>
    </row>
    <row r="1445" spans="3:4">
      <c r="C1445" t="s">
        <v>3466</v>
      </c>
      <c r="D1445" t="str">
        <f t="shared" si="24"/>
        <v>KI9012076446,</v>
      </c>
    </row>
    <row r="1446" spans="3:4">
      <c r="C1446" t="s">
        <v>3467</v>
      </c>
      <c r="D1446" t="str">
        <f t="shared" si="24"/>
        <v>KI7508983709,</v>
      </c>
    </row>
    <row r="1447" spans="3:4">
      <c r="C1447" t="s">
        <v>3468</v>
      </c>
      <c r="D1447" t="str">
        <f t="shared" si="24"/>
        <v>KI7508983154,</v>
      </c>
    </row>
    <row r="1448" spans="3:4">
      <c r="C1448" t="s">
        <v>3469</v>
      </c>
      <c r="D1448" t="str">
        <f t="shared" si="24"/>
        <v>KI7509014312,</v>
      </c>
    </row>
    <row r="1449" spans="3:4">
      <c r="C1449" t="s">
        <v>3470</v>
      </c>
      <c r="D1449" t="str">
        <f t="shared" si="24"/>
        <v>AM7513777921,</v>
      </c>
    </row>
    <row r="1450" spans="3:4">
      <c r="C1450" t="s">
        <v>3471</v>
      </c>
      <c r="D1450" t="str">
        <f t="shared" si="24"/>
        <v>AM7513778567,</v>
      </c>
    </row>
    <row r="1451" spans="3:4">
      <c r="C1451" t="s">
        <v>3472</v>
      </c>
      <c r="D1451" t="str">
        <f t="shared" si="24"/>
        <v>KI7508982705,</v>
      </c>
    </row>
    <row r="1452" spans="3:4">
      <c r="C1452" t="s">
        <v>3473</v>
      </c>
      <c r="D1452" t="str">
        <f t="shared" si="24"/>
        <v>KI7509006107,</v>
      </c>
    </row>
    <row r="1453" spans="3:4">
      <c r="C1453" t="s">
        <v>3474</v>
      </c>
      <c r="D1453" t="str">
        <f t="shared" si="24"/>
        <v>KI7508979205,</v>
      </c>
    </row>
    <row r="1454" spans="3:4">
      <c r="C1454" t="s">
        <v>3475</v>
      </c>
      <c r="D1454" t="str">
        <f t="shared" si="24"/>
        <v>KI7508993634,</v>
      </c>
    </row>
    <row r="1455" spans="3:4">
      <c r="C1455" t="s">
        <v>3476</v>
      </c>
      <c r="D1455" t="str">
        <f t="shared" si="24"/>
        <v>KI7508999457,</v>
      </c>
    </row>
    <row r="1456" spans="3:4">
      <c r="C1456" t="s">
        <v>3477</v>
      </c>
      <c r="D1456" t="str">
        <f t="shared" si="24"/>
        <v>KI7509005179,</v>
      </c>
    </row>
    <row r="1457" spans="3:4">
      <c r="C1457" t="s">
        <v>3478</v>
      </c>
      <c r="D1457" t="str">
        <f t="shared" si="24"/>
        <v>KI7508985015,</v>
      </c>
    </row>
    <row r="1458" spans="3:4">
      <c r="C1458" t="s">
        <v>3479</v>
      </c>
      <c r="D1458" t="str">
        <f t="shared" si="24"/>
        <v>KI7508989315,</v>
      </c>
    </row>
    <row r="1459" spans="3:4">
      <c r="C1459" t="s">
        <v>3480</v>
      </c>
      <c r="D1459" t="str">
        <f t="shared" si="24"/>
        <v>KI7508986986,</v>
      </c>
    </row>
    <row r="1460" spans="3:4">
      <c r="C1460" t="s">
        <v>3481</v>
      </c>
      <c r="D1460" t="str">
        <f t="shared" si="24"/>
        <v>KI7509000538,</v>
      </c>
    </row>
    <row r="1461" spans="3:4">
      <c r="C1461" t="s">
        <v>3482</v>
      </c>
      <c r="D1461" t="str">
        <f t="shared" si="24"/>
        <v>LE9012076953,</v>
      </c>
    </row>
    <row r="1462" spans="3:4">
      <c r="C1462" t="s">
        <v>3483</v>
      </c>
      <c r="D1462" t="str">
        <f t="shared" si="24"/>
        <v>KI0065320891,</v>
      </c>
    </row>
    <row r="1463" spans="3:4">
      <c r="C1463" t="s">
        <v>3484</v>
      </c>
      <c r="D1463" t="str">
        <f t="shared" si="24"/>
        <v>KI0065324556,</v>
      </c>
    </row>
    <row r="1464" spans="3:4">
      <c r="C1464" t="s">
        <v>3485</v>
      </c>
      <c r="D1464" t="str">
        <f t="shared" si="24"/>
        <v>KI7508987863,</v>
      </c>
    </row>
    <row r="1465" spans="3:4">
      <c r="C1465" t="s">
        <v>3486</v>
      </c>
      <c r="D1465" t="str">
        <f t="shared" si="24"/>
        <v>KI9012070598,</v>
      </c>
    </row>
    <row r="1466" spans="3:4">
      <c r="C1466" t="s">
        <v>3487</v>
      </c>
      <c r="D1466" t="str">
        <f t="shared" si="24"/>
        <v>KI7508965400,</v>
      </c>
    </row>
    <row r="1467" spans="3:4">
      <c r="C1467" t="s">
        <v>3488</v>
      </c>
      <c r="D1467" t="str">
        <f t="shared" si="24"/>
        <v>KI9012069157,</v>
      </c>
    </row>
    <row r="1468" spans="3:4">
      <c r="C1468" t="s">
        <v>3489</v>
      </c>
      <c r="D1468" t="str">
        <f t="shared" si="24"/>
        <v>KI7508981156,</v>
      </c>
    </row>
    <row r="1469" spans="3:4">
      <c r="C1469" t="s">
        <v>3490</v>
      </c>
      <c r="D1469" t="str">
        <f t="shared" si="24"/>
        <v>KI9012078531,</v>
      </c>
    </row>
    <row r="1470" spans="3:4">
      <c r="C1470" t="s">
        <v>3491</v>
      </c>
      <c r="D1470" t="str">
        <f t="shared" si="24"/>
        <v>KI9012066853,</v>
      </c>
    </row>
    <row r="1471" spans="3:4">
      <c r="C1471" t="s">
        <v>3492</v>
      </c>
      <c r="D1471" t="str">
        <f t="shared" si="24"/>
        <v>KI7508965382,</v>
      </c>
    </row>
    <row r="1472" spans="3:4">
      <c r="C1472" t="s">
        <v>3493</v>
      </c>
      <c r="D1472" t="str">
        <f t="shared" si="24"/>
        <v>KI9012072267,</v>
      </c>
    </row>
    <row r="1473" spans="3:4">
      <c r="C1473" t="s">
        <v>3494</v>
      </c>
      <c r="D1473" t="str">
        <f t="shared" si="24"/>
        <v>KI9012078314,</v>
      </c>
    </row>
    <row r="1474" spans="3:4">
      <c r="C1474" t="s">
        <v>3495</v>
      </c>
      <c r="D1474" t="str">
        <f t="shared" si="24"/>
        <v>KI9012076180,</v>
      </c>
    </row>
    <row r="1475" spans="3:4">
      <c r="C1475" t="s">
        <v>3496</v>
      </c>
      <c r="D1475" t="str">
        <f t="shared" si="24"/>
        <v>KI7508963842,</v>
      </c>
    </row>
    <row r="1476" spans="3:4">
      <c r="C1476" t="s">
        <v>3497</v>
      </c>
      <c r="D1476" t="str">
        <f t="shared" si="24"/>
        <v>KI7508993744,</v>
      </c>
    </row>
    <row r="1477" spans="3:4">
      <c r="C1477" t="s">
        <v>3498</v>
      </c>
      <c r="D1477" t="str">
        <f t="shared" si="24"/>
        <v>KI9012072246,</v>
      </c>
    </row>
    <row r="1478" spans="3:4">
      <c r="C1478" t="s">
        <v>3499</v>
      </c>
      <c r="D1478" t="str">
        <f t="shared" si="24"/>
        <v>KI9012074842,</v>
      </c>
    </row>
    <row r="1479" spans="3:4">
      <c r="C1479" t="s">
        <v>3500</v>
      </c>
      <c r="D1479" t="str">
        <f t="shared" si="24"/>
        <v>KI7508911018,</v>
      </c>
    </row>
    <row r="1480" spans="3:4">
      <c r="C1480" t="s">
        <v>3501</v>
      </c>
      <c r="D1480" t="str">
        <f t="shared" si="24"/>
        <v>KI9012067880,</v>
      </c>
    </row>
    <row r="1481" spans="3:4">
      <c r="C1481" t="s">
        <v>3502</v>
      </c>
      <c r="D1481" t="str">
        <f t="shared" si="24"/>
        <v>KI9012073568,</v>
      </c>
    </row>
    <row r="1482" spans="3:4">
      <c r="C1482" t="s">
        <v>3503</v>
      </c>
      <c r="D1482" t="str">
        <f t="shared" si="24"/>
        <v>KI9012077888,</v>
      </c>
    </row>
    <row r="1483" spans="3:4">
      <c r="C1483" t="s">
        <v>3504</v>
      </c>
      <c r="D1483" t="str">
        <f t="shared" si="24"/>
        <v>KI7509688658,</v>
      </c>
    </row>
    <row r="1484" spans="3:4">
      <c r="C1484" t="s">
        <v>3505</v>
      </c>
      <c r="D1484" t="str">
        <f t="shared" si="24"/>
        <v>KI7509009265,</v>
      </c>
    </row>
    <row r="1485" spans="3:4">
      <c r="C1485" t="s">
        <v>3506</v>
      </c>
      <c r="D1485" t="str">
        <f t="shared" si="24"/>
        <v>KI7508965385,</v>
      </c>
    </row>
    <row r="1486" spans="3:4">
      <c r="C1486" t="s">
        <v>3507</v>
      </c>
      <c r="D1486" t="str">
        <f t="shared" si="24"/>
        <v>KI9012065234,</v>
      </c>
    </row>
    <row r="1487" spans="3:4">
      <c r="C1487" t="s">
        <v>3508</v>
      </c>
      <c r="D1487" t="str">
        <f t="shared" si="24"/>
        <v>KI7508999385,</v>
      </c>
    </row>
    <row r="1488" spans="3:4">
      <c r="C1488" t="s">
        <v>3509</v>
      </c>
      <c r="D1488" t="str">
        <f t="shared" si="24"/>
        <v>KI9012066054,</v>
      </c>
    </row>
    <row r="1489" spans="3:4">
      <c r="C1489" t="s">
        <v>3510</v>
      </c>
      <c r="D1489" t="str">
        <f t="shared" si="24"/>
        <v>KI9012067145,</v>
      </c>
    </row>
    <row r="1490" spans="3:4">
      <c r="C1490" t="s">
        <v>3511</v>
      </c>
      <c r="D1490" t="str">
        <f t="shared" si="24"/>
        <v>KI0069918421,</v>
      </c>
    </row>
    <row r="1491" spans="3:4">
      <c r="C1491" t="s">
        <v>3512</v>
      </c>
      <c r="D1491" t="str">
        <f t="shared" si="24"/>
        <v>KI7508980314,</v>
      </c>
    </row>
    <row r="1492" spans="3:4">
      <c r="C1492" t="s">
        <v>3513</v>
      </c>
      <c r="D1492" t="str">
        <f t="shared" si="24"/>
        <v>KI7500328564,</v>
      </c>
    </row>
    <row r="1493" spans="3:4">
      <c r="C1493" t="s">
        <v>3514</v>
      </c>
      <c r="D1493" t="str">
        <f t="shared" si="24"/>
        <v>KI9012080405,</v>
      </c>
    </row>
    <row r="1494" spans="3:4">
      <c r="C1494" t="s">
        <v>3515</v>
      </c>
      <c r="D1494" t="str">
        <f t="shared" si="24"/>
        <v>KI9012077501,</v>
      </c>
    </row>
    <row r="1495" spans="3:4">
      <c r="C1495" t="s">
        <v>3516</v>
      </c>
      <c r="D1495" t="str">
        <f t="shared" si="24"/>
        <v>KI7508997491,</v>
      </c>
    </row>
    <row r="1496" spans="3:4">
      <c r="C1496" t="s">
        <v>3517</v>
      </c>
      <c r="D1496" t="str">
        <f t="shared" si="24"/>
        <v>KI7508997492,</v>
      </c>
    </row>
    <row r="1497" spans="3:4">
      <c r="C1497" t="s">
        <v>3518</v>
      </c>
      <c r="D1497" t="str">
        <f t="shared" si="24"/>
        <v>KI7508993358,</v>
      </c>
    </row>
    <row r="1498" spans="3:4">
      <c r="C1498" t="s">
        <v>3519</v>
      </c>
      <c r="D1498" t="str">
        <f t="shared" si="24"/>
        <v>KI7508981256,</v>
      </c>
    </row>
    <row r="1499" spans="3:4">
      <c r="C1499" t="s">
        <v>3520</v>
      </c>
      <c r="D1499" t="str">
        <f t="shared" si="24"/>
        <v>KI7509013278,</v>
      </c>
    </row>
    <row r="1500" spans="3:4">
      <c r="C1500" t="s">
        <v>3521</v>
      </c>
      <c r="D1500" t="str">
        <f t="shared" si="24"/>
        <v>KI7508994064,</v>
      </c>
    </row>
    <row r="1501" spans="3:4">
      <c r="C1501" t="s">
        <v>3522</v>
      </c>
      <c r="D1501" t="str">
        <f t="shared" si="24"/>
        <v>BA7507942693,</v>
      </c>
    </row>
    <row r="1502" spans="3:4">
      <c r="C1502" t="s">
        <v>3523</v>
      </c>
      <c r="D1502" t="str">
        <f t="shared" si="24"/>
        <v>BA7507942240,</v>
      </c>
    </row>
    <row r="1503" spans="3:4">
      <c r="C1503" t="s">
        <v>3524</v>
      </c>
      <c r="D1503" t="str">
        <f t="shared" ref="D1503:D1566" si="25">""&amp;C1503&amp;","</f>
        <v>KI7508712670,</v>
      </c>
    </row>
    <row r="1504" spans="3:4">
      <c r="C1504" t="s">
        <v>3525</v>
      </c>
      <c r="D1504" t="str">
        <f t="shared" si="25"/>
        <v>BR7502732394,</v>
      </c>
    </row>
    <row r="1505" spans="3:4">
      <c r="C1505" t="s">
        <v>3526</v>
      </c>
      <c r="D1505" t="str">
        <f t="shared" si="25"/>
        <v>KI0023098277,</v>
      </c>
    </row>
    <row r="1506" spans="3:4">
      <c r="C1506" t="s">
        <v>3527</v>
      </c>
      <c r="D1506" t="str">
        <f t="shared" si="25"/>
        <v>KI0002309003,</v>
      </c>
    </row>
    <row r="1507" spans="3:4">
      <c r="C1507" t="s">
        <v>3528</v>
      </c>
      <c r="D1507" t="str">
        <f t="shared" si="25"/>
        <v>KI9012072970,</v>
      </c>
    </row>
    <row r="1508" spans="3:4">
      <c r="C1508" t="s">
        <v>3529</v>
      </c>
      <c r="D1508" t="str">
        <f t="shared" si="25"/>
        <v>KI7509005038,</v>
      </c>
    </row>
    <row r="1509" spans="3:4">
      <c r="C1509" t="s">
        <v>3530</v>
      </c>
      <c r="D1509" t="str">
        <f t="shared" si="25"/>
        <v>KI7508828202,</v>
      </c>
    </row>
    <row r="1510" spans="3:4">
      <c r="C1510" t="s">
        <v>3531</v>
      </c>
      <c r="D1510" t="str">
        <f t="shared" si="25"/>
        <v>KI7500332699,</v>
      </c>
    </row>
    <row r="1511" spans="3:4">
      <c r="C1511" t="s">
        <v>3532</v>
      </c>
      <c r="D1511" t="str">
        <f t="shared" si="25"/>
        <v>KI9012073208,</v>
      </c>
    </row>
    <row r="1512" spans="3:4">
      <c r="C1512" t="s">
        <v>3533</v>
      </c>
      <c r="D1512" t="str">
        <f t="shared" si="25"/>
        <v>KI7509015710,</v>
      </c>
    </row>
    <row r="1513" spans="3:4">
      <c r="C1513" t="s">
        <v>3534</v>
      </c>
      <c r="D1513" t="str">
        <f t="shared" si="25"/>
        <v>KI9012077360,</v>
      </c>
    </row>
    <row r="1514" spans="3:4">
      <c r="C1514" t="s">
        <v>3535</v>
      </c>
      <c r="D1514" t="str">
        <f t="shared" si="25"/>
        <v>PW9012090189,</v>
      </c>
    </row>
    <row r="1515" spans="3:4">
      <c r="C1515" t="s">
        <v>3536</v>
      </c>
      <c r="D1515" t="str">
        <f t="shared" si="25"/>
        <v>PW7513565356,</v>
      </c>
    </row>
    <row r="1516" spans="3:4">
      <c r="C1516" t="s">
        <v>3537</v>
      </c>
      <c r="D1516" t="str">
        <f t="shared" si="25"/>
        <v>ID7512546141,</v>
      </c>
    </row>
    <row r="1517" spans="3:4">
      <c r="C1517" t="s">
        <v>3538</v>
      </c>
      <c r="D1517" t="str">
        <f t="shared" si="25"/>
        <v>FS9012063417,</v>
      </c>
    </row>
    <row r="1518" spans="3:4">
      <c r="C1518" t="s">
        <v>3539</v>
      </c>
      <c r="D1518" t="str">
        <f t="shared" si="25"/>
        <v>FS7512206201,</v>
      </c>
    </row>
    <row r="1519" spans="3:4">
      <c r="C1519" t="s">
        <v>3540</v>
      </c>
      <c r="D1519" t="str">
        <f t="shared" si="25"/>
        <v>FS7512178085,</v>
      </c>
    </row>
    <row r="1520" spans="3:4">
      <c r="C1520" t="s">
        <v>3541</v>
      </c>
      <c r="D1520" t="str">
        <f t="shared" si="25"/>
        <v>FS7512193628,</v>
      </c>
    </row>
    <row r="1521" spans="3:4">
      <c r="C1521" t="s">
        <v>3542</v>
      </c>
      <c r="D1521" t="str">
        <f t="shared" si="25"/>
        <v>FS9012080668,</v>
      </c>
    </row>
    <row r="1522" spans="3:4">
      <c r="C1522" t="s">
        <v>3543</v>
      </c>
      <c r="D1522" t="str">
        <f t="shared" si="25"/>
        <v>FS9012057485,</v>
      </c>
    </row>
    <row r="1523" spans="3:4">
      <c r="C1523" t="s">
        <v>3544</v>
      </c>
      <c r="D1523" t="str">
        <f t="shared" si="25"/>
        <v>FS9012078184,</v>
      </c>
    </row>
    <row r="1524" spans="3:4">
      <c r="C1524" t="s">
        <v>3545</v>
      </c>
      <c r="D1524" t="str">
        <f t="shared" si="25"/>
        <v>FS9012076280,</v>
      </c>
    </row>
    <row r="1525" spans="3:4">
      <c r="C1525" t="s">
        <v>3546</v>
      </c>
      <c r="D1525" t="str">
        <f t="shared" si="25"/>
        <v>FS7512201036,</v>
      </c>
    </row>
    <row r="1526" spans="3:4">
      <c r="C1526" t="s">
        <v>3547</v>
      </c>
      <c r="D1526" t="str">
        <f t="shared" si="25"/>
        <v>RN9010907212,</v>
      </c>
    </row>
    <row r="1527" spans="3:4">
      <c r="C1527" t="s">
        <v>3548</v>
      </c>
      <c r="D1527" t="str">
        <f t="shared" si="25"/>
        <v>SP7515051342,</v>
      </c>
    </row>
    <row r="1528" spans="3:4">
      <c r="C1528" t="s">
        <v>3549</v>
      </c>
      <c r="D1528" t="str">
        <f t="shared" si="25"/>
        <v>SW9012085643,</v>
      </c>
    </row>
    <row r="1529" spans="3:4">
      <c r="C1529" t="s">
        <v>3550</v>
      </c>
      <c r="D1529" t="str">
        <f t="shared" si="25"/>
        <v>KI7508962113,</v>
      </c>
    </row>
    <row r="1530" spans="3:4">
      <c r="C1530" t="s">
        <v>3551</v>
      </c>
      <c r="D1530" t="str">
        <f t="shared" si="25"/>
        <v>SW9012079861,</v>
      </c>
    </row>
    <row r="1531" spans="3:4">
      <c r="C1531" t="s">
        <v>3552</v>
      </c>
      <c r="D1531" t="str">
        <f t="shared" si="25"/>
        <v>SW9012089943,</v>
      </c>
    </row>
    <row r="1532" spans="3:4">
      <c r="C1532" t="s">
        <v>3553</v>
      </c>
      <c r="D1532" t="str">
        <f t="shared" si="25"/>
        <v>RN9012081155,</v>
      </c>
    </row>
    <row r="1533" spans="3:4">
      <c r="C1533" t="s">
        <v>3554</v>
      </c>
      <c r="D1533" t="str">
        <f t="shared" si="25"/>
        <v>RN9012080407,</v>
      </c>
    </row>
    <row r="1534" spans="3:4">
      <c r="C1534" t="s">
        <v>3555</v>
      </c>
      <c r="D1534" t="str">
        <f t="shared" si="25"/>
        <v>RN9012084871,</v>
      </c>
    </row>
    <row r="1535" spans="3:4">
      <c r="C1535" t="s">
        <v>3556</v>
      </c>
      <c r="D1535" t="str">
        <f t="shared" si="25"/>
        <v>RW7515002811,</v>
      </c>
    </row>
    <row r="1536" spans="3:4">
      <c r="C1536" t="s">
        <v>3557</v>
      </c>
      <c r="D1536" t="str">
        <f t="shared" si="25"/>
        <v>LE0992022459,</v>
      </c>
    </row>
    <row r="1537" spans="3:4">
      <c r="C1537" t="s">
        <v>3558</v>
      </c>
      <c r="D1537" t="str">
        <f t="shared" si="25"/>
        <v>AT0060881826,</v>
      </c>
    </row>
    <row r="1538" spans="3:4">
      <c r="C1538" t="s">
        <v>3559</v>
      </c>
      <c r="D1538" t="str">
        <f t="shared" si="25"/>
        <v>LE0060939915,</v>
      </c>
    </row>
    <row r="1539" spans="3:4">
      <c r="C1539" t="s">
        <v>3560</v>
      </c>
      <c r="D1539" t="str">
        <f t="shared" si="25"/>
        <v>CD7503607621,</v>
      </c>
    </row>
    <row r="1540" spans="3:4">
      <c r="C1540" t="s">
        <v>3561</v>
      </c>
      <c r="D1540" t="str">
        <f t="shared" si="25"/>
        <v>LE7510117378,</v>
      </c>
    </row>
    <row r="1541" spans="3:4">
      <c r="C1541" t="s">
        <v>3562</v>
      </c>
      <c r="D1541" t="str">
        <f t="shared" si="25"/>
        <v>KL7513699252,</v>
      </c>
    </row>
    <row r="1542" spans="3:4">
      <c r="C1542" t="s">
        <v>3563</v>
      </c>
      <c r="D1542" t="str">
        <f t="shared" si="25"/>
        <v>VR0126278546,</v>
      </c>
    </row>
    <row r="1543" spans="3:4">
      <c r="C1543" t="s">
        <v>3564</v>
      </c>
      <c r="D1543" t="str">
        <f t="shared" si="25"/>
        <v>VR0126279603,</v>
      </c>
    </row>
    <row r="1544" spans="3:4">
      <c r="C1544" t="s">
        <v>3565</v>
      </c>
      <c r="D1544" t="str">
        <f t="shared" si="25"/>
        <v>CD7503607608,</v>
      </c>
    </row>
    <row r="1545" spans="3:4">
      <c r="C1545" t="s">
        <v>3566</v>
      </c>
      <c r="D1545" t="str">
        <f t="shared" si="25"/>
        <v>MR7503772047,</v>
      </c>
    </row>
    <row r="1546" spans="3:4">
      <c r="C1546" t="s">
        <v>3567</v>
      </c>
      <c r="D1546" t="str">
        <f t="shared" si="25"/>
        <v>RW0126198513,</v>
      </c>
    </row>
    <row r="1547" spans="3:4">
      <c r="C1547" t="s">
        <v>3568</v>
      </c>
      <c r="D1547" t="str">
        <f t="shared" si="25"/>
        <v>JD7504341222,</v>
      </c>
    </row>
    <row r="1548" spans="3:4">
      <c r="C1548" t="s">
        <v>3569</v>
      </c>
      <c r="D1548" t="str">
        <f t="shared" si="25"/>
        <v>OK7514474258,</v>
      </c>
    </row>
    <row r="1549" spans="3:4">
      <c r="C1549" t="s">
        <v>3570</v>
      </c>
      <c r="D1549" t="str">
        <f t="shared" si="25"/>
        <v>OK7514369496,</v>
      </c>
    </row>
    <row r="1550" spans="3:4">
      <c r="C1550" t="s">
        <v>3571</v>
      </c>
      <c r="D1550" t="str">
        <f t="shared" si="25"/>
        <v>OK7514474099,</v>
      </c>
    </row>
    <row r="1551" spans="3:4">
      <c r="C1551" t="s">
        <v>3572</v>
      </c>
      <c r="D1551" t="str">
        <f t="shared" si="25"/>
        <v>JM7514163594,</v>
      </c>
    </row>
    <row r="1552" spans="3:4">
      <c r="C1552" t="s">
        <v>3573</v>
      </c>
      <c r="D1552" t="str">
        <f t="shared" si="25"/>
        <v>JR7515285371,</v>
      </c>
    </row>
    <row r="1553" spans="3:4">
      <c r="C1553" t="s">
        <v>3574</v>
      </c>
      <c r="D1553" t="str">
        <f t="shared" si="25"/>
        <v>FS7512222955,</v>
      </c>
    </row>
    <row r="1554" spans="3:4">
      <c r="C1554" t="s">
        <v>3575</v>
      </c>
      <c r="D1554" t="str">
        <f t="shared" si="25"/>
        <v>JR7513596908,</v>
      </c>
    </row>
    <row r="1555" spans="3:4">
      <c r="C1555" t="s">
        <v>3576</v>
      </c>
      <c r="D1555" t="str">
        <f t="shared" si="25"/>
        <v>FS7512219512,</v>
      </c>
    </row>
    <row r="1556" spans="3:4">
      <c r="C1556" t="s">
        <v>3577</v>
      </c>
      <c r="D1556" t="str">
        <f t="shared" si="25"/>
        <v>FS7512223686,</v>
      </c>
    </row>
    <row r="1557" spans="3:4">
      <c r="C1557" t="s">
        <v>3578</v>
      </c>
      <c r="D1557" t="str">
        <f t="shared" si="25"/>
        <v>FS7512396587,</v>
      </c>
    </row>
    <row r="1558" spans="3:4">
      <c r="C1558" t="s">
        <v>3579</v>
      </c>
      <c r="D1558" t="str">
        <f t="shared" si="25"/>
        <v>FS7512396754,</v>
      </c>
    </row>
    <row r="1559" spans="3:4">
      <c r="C1559" t="s">
        <v>3580</v>
      </c>
      <c r="D1559" t="str">
        <f t="shared" si="25"/>
        <v>FS7512395008,</v>
      </c>
    </row>
    <row r="1560" spans="3:4">
      <c r="C1560" t="s">
        <v>3581</v>
      </c>
      <c r="D1560" t="str">
        <f t="shared" si="25"/>
        <v>FS7512222101,</v>
      </c>
    </row>
    <row r="1561" spans="3:4">
      <c r="C1561" t="s">
        <v>3582</v>
      </c>
      <c r="D1561" t="str">
        <f t="shared" si="25"/>
        <v>DP7504477270,</v>
      </c>
    </row>
    <row r="1562" spans="3:4">
      <c r="C1562" t="s">
        <v>3583</v>
      </c>
      <c r="D1562" t="str">
        <f t="shared" si="25"/>
        <v>LE9012080751,</v>
      </c>
    </row>
    <row r="1563" spans="3:4">
      <c r="C1563" t="s">
        <v>3584</v>
      </c>
      <c r="D1563" t="str">
        <f t="shared" si="25"/>
        <v>LE9012090402,</v>
      </c>
    </row>
    <row r="1564" spans="3:4">
      <c r="C1564" t="s">
        <v>3585</v>
      </c>
      <c r="D1564" t="str">
        <f t="shared" si="25"/>
        <v>SA7514081572,</v>
      </c>
    </row>
    <row r="1565" spans="3:4">
      <c r="C1565" t="s">
        <v>3586</v>
      </c>
      <c r="D1565" t="str">
        <f t="shared" si="25"/>
        <v>SA7514082102,</v>
      </c>
    </row>
    <row r="1566" spans="3:4">
      <c r="C1566" t="s">
        <v>3587</v>
      </c>
      <c r="D1566" t="str">
        <f t="shared" si="25"/>
        <v>SL7507531443,</v>
      </c>
    </row>
    <row r="1567" spans="3:4">
      <c r="C1567" t="s">
        <v>3588</v>
      </c>
      <c r="D1567" t="str">
        <f t="shared" ref="D1567:D1630" si="26">""&amp;C1567&amp;","</f>
        <v>SA7514081832,</v>
      </c>
    </row>
    <row r="1568" spans="3:4">
      <c r="C1568" t="s">
        <v>3589</v>
      </c>
      <c r="D1568" t="str">
        <f t="shared" si="26"/>
        <v>SA7515160700,</v>
      </c>
    </row>
    <row r="1569" spans="3:4">
      <c r="C1569" t="s">
        <v>3590</v>
      </c>
      <c r="D1569" t="str">
        <f t="shared" si="26"/>
        <v>RN9010907255,</v>
      </c>
    </row>
    <row r="1570" spans="3:4">
      <c r="C1570" t="s">
        <v>3591</v>
      </c>
      <c r="D1570" t="str">
        <f t="shared" si="26"/>
        <v>SL9011945729,</v>
      </c>
    </row>
    <row r="1571" spans="3:4">
      <c r="C1571" t="s">
        <v>3592</v>
      </c>
      <c r="D1571" t="str">
        <f t="shared" si="26"/>
        <v>RN9012094564,</v>
      </c>
    </row>
    <row r="1572" spans="3:4">
      <c r="C1572" t="s">
        <v>3593</v>
      </c>
      <c r="D1572" t="str">
        <f t="shared" si="26"/>
        <v>RN9012094657,</v>
      </c>
    </row>
    <row r="1573" spans="3:4">
      <c r="C1573" t="s">
        <v>3594</v>
      </c>
      <c r="D1573" t="str">
        <f t="shared" si="26"/>
        <v>SL9012096206,</v>
      </c>
    </row>
    <row r="1574" spans="3:4">
      <c r="C1574" t="s">
        <v>3595</v>
      </c>
      <c r="D1574" t="str">
        <f t="shared" si="26"/>
        <v>FS7512219514,</v>
      </c>
    </row>
    <row r="1575" spans="3:4">
      <c r="C1575" t="s">
        <v>3596</v>
      </c>
      <c r="D1575" t="str">
        <f t="shared" si="26"/>
        <v>FS7512211721,</v>
      </c>
    </row>
    <row r="1576" spans="3:4">
      <c r="C1576" t="s">
        <v>3597</v>
      </c>
      <c r="D1576" t="str">
        <f t="shared" si="26"/>
        <v>FS7512220768,</v>
      </c>
    </row>
    <row r="1577" spans="3:4">
      <c r="C1577" t="s">
        <v>3598</v>
      </c>
      <c r="D1577" t="str">
        <f t="shared" si="26"/>
        <v>FS7512223923,</v>
      </c>
    </row>
    <row r="1578" spans="3:4">
      <c r="C1578" t="s">
        <v>3599</v>
      </c>
      <c r="D1578" t="str">
        <f t="shared" si="26"/>
        <v>FS7512395048,</v>
      </c>
    </row>
    <row r="1579" spans="3:4">
      <c r="C1579" t="s">
        <v>3600</v>
      </c>
      <c r="D1579" t="str">
        <f t="shared" si="26"/>
        <v>KI9012078510,</v>
      </c>
    </row>
    <row r="1580" spans="3:4">
      <c r="C1580" t="s">
        <v>3601</v>
      </c>
      <c r="D1580" t="str">
        <f t="shared" si="26"/>
        <v>KI9012076425,</v>
      </c>
    </row>
    <row r="1581" spans="3:4">
      <c r="C1581" t="s">
        <v>3602</v>
      </c>
      <c r="D1581" t="str">
        <f t="shared" si="26"/>
        <v>KI9012073106,</v>
      </c>
    </row>
    <row r="1582" spans="3:4">
      <c r="C1582" t="s">
        <v>3603</v>
      </c>
      <c r="D1582" t="str">
        <f t="shared" si="26"/>
        <v>MX7512768708,</v>
      </c>
    </row>
    <row r="1583" spans="3:4">
      <c r="C1583" t="s">
        <v>3604</v>
      </c>
      <c r="D1583" t="str">
        <f t="shared" si="26"/>
        <v>KI7508981966,</v>
      </c>
    </row>
    <row r="1584" spans="3:4">
      <c r="C1584" t="s">
        <v>3605</v>
      </c>
      <c r="D1584" t="str">
        <f t="shared" si="26"/>
        <v>KI9012048515,</v>
      </c>
    </row>
    <row r="1585" spans="3:4">
      <c r="C1585" t="s">
        <v>3606</v>
      </c>
      <c r="D1585" t="str">
        <f t="shared" si="26"/>
        <v>KI9012077332,</v>
      </c>
    </row>
    <row r="1586" spans="3:4">
      <c r="C1586" t="s">
        <v>3607</v>
      </c>
      <c r="D1586" t="str">
        <f t="shared" si="26"/>
        <v>KI9012073839,</v>
      </c>
    </row>
    <row r="1587" spans="3:4">
      <c r="C1587" t="s">
        <v>3608</v>
      </c>
      <c r="D1587" t="str">
        <f t="shared" si="26"/>
        <v>KI9012076239,</v>
      </c>
    </row>
    <row r="1588" spans="3:4">
      <c r="C1588" t="s">
        <v>3609</v>
      </c>
      <c r="D1588" t="str">
        <f t="shared" si="26"/>
        <v>KI9012078513,</v>
      </c>
    </row>
    <row r="1589" spans="3:4">
      <c r="C1589" t="s">
        <v>3610</v>
      </c>
      <c r="D1589" t="str">
        <f t="shared" si="26"/>
        <v>KI9012069246,</v>
      </c>
    </row>
    <row r="1590" spans="3:4">
      <c r="C1590" t="s">
        <v>3611</v>
      </c>
      <c r="D1590" t="str">
        <f t="shared" si="26"/>
        <v>KI9012078511,</v>
      </c>
    </row>
    <row r="1591" spans="3:4">
      <c r="C1591" t="s">
        <v>3612</v>
      </c>
      <c r="D1591" t="str">
        <f t="shared" si="26"/>
        <v>KI9012078512,</v>
      </c>
    </row>
    <row r="1592" spans="3:4">
      <c r="C1592" t="s">
        <v>3613</v>
      </c>
      <c r="D1592" t="str">
        <f t="shared" si="26"/>
        <v>MM9011938379,</v>
      </c>
    </row>
    <row r="1593" spans="3:4">
      <c r="C1593" t="s">
        <v>3614</v>
      </c>
      <c r="D1593" t="str">
        <f t="shared" si="26"/>
        <v>MM9011935990,</v>
      </c>
    </row>
    <row r="1594" spans="3:4">
      <c r="C1594" t="s">
        <v>3615</v>
      </c>
      <c r="D1594" t="str">
        <f t="shared" si="26"/>
        <v>MM9011942703,</v>
      </c>
    </row>
    <row r="1595" spans="3:4">
      <c r="C1595" t="s">
        <v>3616</v>
      </c>
      <c r="D1595" t="str">
        <f t="shared" si="26"/>
        <v>MM9011935862,</v>
      </c>
    </row>
    <row r="1596" spans="3:4">
      <c r="C1596" t="s">
        <v>3617</v>
      </c>
      <c r="D1596" t="str">
        <f t="shared" si="26"/>
        <v>MX7512771057,</v>
      </c>
    </row>
    <row r="1597" spans="3:4">
      <c r="C1597" t="s">
        <v>3618</v>
      </c>
      <c r="D1597" t="str">
        <f t="shared" si="26"/>
        <v>MX7512771479,</v>
      </c>
    </row>
    <row r="1598" spans="3:4">
      <c r="C1598" t="s">
        <v>3619</v>
      </c>
      <c r="D1598" t="str">
        <f t="shared" si="26"/>
        <v>MX9012058827,</v>
      </c>
    </row>
    <row r="1599" spans="3:4">
      <c r="C1599" t="s">
        <v>3620</v>
      </c>
      <c r="D1599" t="str">
        <f t="shared" si="26"/>
        <v>FS9012083597,</v>
      </c>
    </row>
    <row r="1600" spans="3:4">
      <c r="C1600" t="s">
        <v>3621</v>
      </c>
      <c r="D1600" t="str">
        <f t="shared" si="26"/>
        <v>FS7512199285,</v>
      </c>
    </row>
    <row r="1601" spans="3:4">
      <c r="C1601" t="s">
        <v>3622</v>
      </c>
      <c r="D1601" t="str">
        <f t="shared" si="26"/>
        <v>FS7512203614,</v>
      </c>
    </row>
    <row r="1602" spans="3:4">
      <c r="C1602" t="s">
        <v>3623</v>
      </c>
      <c r="D1602" t="str">
        <f t="shared" si="26"/>
        <v>FS9012070574,</v>
      </c>
    </row>
    <row r="1603" spans="3:4">
      <c r="C1603" t="s">
        <v>3624</v>
      </c>
      <c r="D1603" t="str">
        <f t="shared" si="26"/>
        <v>GW7514773567,</v>
      </c>
    </row>
    <row r="1604" spans="3:4">
      <c r="C1604" t="s">
        <v>3625</v>
      </c>
      <c r="D1604" t="str">
        <f t="shared" si="26"/>
        <v>MM7505091921,</v>
      </c>
    </row>
    <row r="1605" spans="3:4">
      <c r="C1605" t="s">
        <v>3626</v>
      </c>
      <c r="D1605" t="str">
        <f t="shared" si="26"/>
        <v>MM9011809383,</v>
      </c>
    </row>
    <row r="1606" spans="3:4">
      <c r="C1606" t="s">
        <v>3627</v>
      </c>
      <c r="D1606" t="str">
        <f t="shared" si="26"/>
        <v>MM9011808132,</v>
      </c>
    </row>
    <row r="1607" spans="3:4">
      <c r="C1607" t="s">
        <v>3628</v>
      </c>
      <c r="D1607" t="str">
        <f t="shared" si="26"/>
        <v>MM7505091767,</v>
      </c>
    </row>
    <row r="1608" spans="3:4">
      <c r="C1608" t="s">
        <v>3629</v>
      </c>
      <c r="D1608" t="str">
        <f t="shared" si="26"/>
        <v>MM9011816022,</v>
      </c>
    </row>
    <row r="1609" spans="3:4">
      <c r="C1609" t="s">
        <v>3630</v>
      </c>
      <c r="D1609" t="str">
        <f t="shared" si="26"/>
        <v>MM9011940596,</v>
      </c>
    </row>
    <row r="1610" spans="3:4">
      <c r="C1610" t="s">
        <v>3631</v>
      </c>
      <c r="D1610" t="str">
        <f t="shared" si="26"/>
        <v>GW9011946856,</v>
      </c>
    </row>
    <row r="1611" spans="3:4">
      <c r="C1611" t="s">
        <v>3632</v>
      </c>
      <c r="D1611" t="str">
        <f t="shared" si="26"/>
        <v>GW7514773046,</v>
      </c>
    </row>
    <row r="1612" spans="3:4">
      <c r="C1612" t="s">
        <v>3633</v>
      </c>
      <c r="D1612" t="str">
        <f t="shared" si="26"/>
        <v>SP7515051743,</v>
      </c>
    </row>
    <row r="1613" spans="3:4">
      <c r="C1613" t="s">
        <v>3634</v>
      </c>
      <c r="D1613" t="str">
        <f t="shared" si="26"/>
        <v>FS7512223874,</v>
      </c>
    </row>
    <row r="1614" spans="3:4">
      <c r="C1614" t="s">
        <v>3635</v>
      </c>
      <c r="D1614" t="str">
        <f t="shared" si="26"/>
        <v>FS7512200005,</v>
      </c>
    </row>
    <row r="1615" spans="3:4">
      <c r="C1615" t="s">
        <v>3636</v>
      </c>
      <c r="D1615" t="str">
        <f t="shared" si="26"/>
        <v>SP7515051999,</v>
      </c>
    </row>
    <row r="1616" spans="3:4">
      <c r="C1616" t="s">
        <v>3637</v>
      </c>
      <c r="D1616" t="str">
        <f t="shared" si="26"/>
        <v>FS7512219965,</v>
      </c>
    </row>
    <row r="1617" spans="3:4">
      <c r="C1617" t="s">
        <v>3638</v>
      </c>
      <c r="D1617" t="str">
        <f t="shared" si="26"/>
        <v>MG7514817548,</v>
      </c>
    </row>
    <row r="1618" spans="3:4">
      <c r="C1618" t="s">
        <v>3639</v>
      </c>
      <c r="D1618" t="str">
        <f t="shared" si="26"/>
        <v>FS7512214817,</v>
      </c>
    </row>
    <row r="1619" spans="3:4">
      <c r="C1619" t="s">
        <v>3640</v>
      </c>
      <c r="D1619" t="str">
        <f t="shared" si="26"/>
        <v>SA7515162316,</v>
      </c>
    </row>
    <row r="1620" spans="3:4">
      <c r="C1620" t="s">
        <v>3641</v>
      </c>
      <c r="D1620" t="str">
        <f t="shared" si="26"/>
        <v>MV7504031034,</v>
      </c>
    </row>
    <row r="1621" spans="3:4">
      <c r="C1621" t="s">
        <v>3642</v>
      </c>
      <c r="D1621" t="str">
        <f t="shared" si="26"/>
        <v>SA7515162093,</v>
      </c>
    </row>
    <row r="1622" spans="3:4">
      <c r="C1622" t="s">
        <v>3643</v>
      </c>
      <c r="D1622" t="str">
        <f t="shared" si="26"/>
        <v>LE7510173088,</v>
      </c>
    </row>
    <row r="1623" spans="3:4">
      <c r="C1623" t="s">
        <v>3644</v>
      </c>
      <c r="D1623" t="str">
        <f t="shared" si="26"/>
        <v>LE7510201105,</v>
      </c>
    </row>
    <row r="1624" spans="3:4">
      <c r="C1624" t="s">
        <v>3645</v>
      </c>
      <c r="D1624" t="str">
        <f t="shared" si="26"/>
        <v>MX7512769959,</v>
      </c>
    </row>
    <row r="1625" spans="3:4">
      <c r="C1625" t="s">
        <v>3646</v>
      </c>
      <c r="D1625" t="str">
        <f t="shared" si="26"/>
        <v>LE7510171468,</v>
      </c>
    </row>
    <row r="1626" spans="3:4">
      <c r="C1626" t="s">
        <v>3647</v>
      </c>
      <c r="D1626" t="str">
        <f t="shared" si="26"/>
        <v>LE7510153152,</v>
      </c>
    </row>
    <row r="1627" spans="3:4">
      <c r="C1627" t="s">
        <v>3648</v>
      </c>
      <c r="D1627" t="str">
        <f t="shared" si="26"/>
        <v>KI7500329784,</v>
      </c>
    </row>
    <row r="1628" spans="3:4">
      <c r="C1628" t="s">
        <v>3649</v>
      </c>
      <c r="D1628" t="str">
        <f t="shared" si="26"/>
        <v>LE7510202622,</v>
      </c>
    </row>
    <row r="1629" spans="3:4">
      <c r="C1629" t="s">
        <v>3650</v>
      </c>
      <c r="D1629" t="str">
        <f t="shared" si="26"/>
        <v>KI9012077222,</v>
      </c>
    </row>
    <row r="1630" spans="3:4">
      <c r="C1630" t="s">
        <v>3651</v>
      </c>
      <c r="D1630" t="str">
        <f t="shared" si="26"/>
        <v>LE7510206835,</v>
      </c>
    </row>
    <row r="1631" spans="3:4">
      <c r="C1631" t="s">
        <v>3652</v>
      </c>
      <c r="D1631" t="str">
        <f t="shared" ref="D1631:D1694" si="27">""&amp;C1631&amp;","</f>
        <v>LE7501242492,</v>
      </c>
    </row>
    <row r="1632" spans="3:4">
      <c r="C1632" t="s">
        <v>3653</v>
      </c>
      <c r="D1632" t="str">
        <f t="shared" si="27"/>
        <v>LE7510204194,</v>
      </c>
    </row>
    <row r="1633" spans="3:4">
      <c r="C1633" t="s">
        <v>3654</v>
      </c>
      <c r="D1633" t="str">
        <f t="shared" si="27"/>
        <v>LE7510201849,</v>
      </c>
    </row>
    <row r="1634" spans="3:4">
      <c r="C1634" t="s">
        <v>3655</v>
      </c>
      <c r="D1634" t="str">
        <f t="shared" si="27"/>
        <v>LE7510200685,</v>
      </c>
    </row>
    <row r="1635" spans="3:4">
      <c r="C1635" t="s">
        <v>3656</v>
      </c>
      <c r="D1635" t="str">
        <f t="shared" si="27"/>
        <v>LE7510208783,</v>
      </c>
    </row>
    <row r="1636" spans="3:4">
      <c r="C1636" t="s">
        <v>3657</v>
      </c>
      <c r="D1636" t="str">
        <f t="shared" si="27"/>
        <v>LE7510200457,</v>
      </c>
    </row>
    <row r="1637" spans="3:4">
      <c r="C1637" t="s">
        <v>3658</v>
      </c>
      <c r="D1637" t="str">
        <f t="shared" si="27"/>
        <v>AM7513779332,</v>
      </c>
    </row>
    <row r="1638" spans="3:4">
      <c r="C1638" t="s">
        <v>3659</v>
      </c>
      <c r="D1638" t="str">
        <f t="shared" si="27"/>
        <v>QD7514030685,</v>
      </c>
    </row>
    <row r="1639" spans="3:4">
      <c r="C1639" t="s">
        <v>3660</v>
      </c>
      <c r="D1639" t="str">
        <f t="shared" si="27"/>
        <v>QD7514030664,</v>
      </c>
    </row>
    <row r="1640" spans="3:4">
      <c r="C1640" t="s">
        <v>3661</v>
      </c>
      <c r="D1640" t="str">
        <f t="shared" si="27"/>
        <v>OK7514475339,</v>
      </c>
    </row>
    <row r="1641" spans="3:4">
      <c r="C1641" t="s">
        <v>3662</v>
      </c>
      <c r="D1641" t="str">
        <f t="shared" si="27"/>
        <v>LE7510178618,</v>
      </c>
    </row>
    <row r="1642" spans="3:4">
      <c r="C1642" t="s">
        <v>3663</v>
      </c>
      <c r="D1642" t="str">
        <f t="shared" si="27"/>
        <v>LE7510203901,</v>
      </c>
    </row>
    <row r="1643" spans="3:4">
      <c r="C1643" t="s">
        <v>3664</v>
      </c>
      <c r="D1643" t="str">
        <f t="shared" si="27"/>
        <v>PR7506960303,</v>
      </c>
    </row>
    <row r="1644" spans="3:4">
      <c r="C1644" t="s">
        <v>3665</v>
      </c>
      <c r="D1644" t="str">
        <f t="shared" si="27"/>
        <v>LE7510184031,</v>
      </c>
    </row>
    <row r="1645" spans="3:4">
      <c r="C1645" t="s">
        <v>3666</v>
      </c>
      <c r="D1645" t="str">
        <f t="shared" si="27"/>
        <v>LE7510195848,</v>
      </c>
    </row>
    <row r="1646" spans="3:4">
      <c r="C1646" t="s">
        <v>3667</v>
      </c>
      <c r="D1646" t="str">
        <f t="shared" si="27"/>
        <v>LE7510179373,</v>
      </c>
    </row>
    <row r="1647" spans="3:4">
      <c r="C1647" t="s">
        <v>3668</v>
      </c>
      <c r="D1647" t="str">
        <f t="shared" si="27"/>
        <v>LE7510194418,</v>
      </c>
    </row>
    <row r="1648" spans="3:4">
      <c r="C1648" t="s">
        <v>3669</v>
      </c>
      <c r="D1648" t="str">
        <f t="shared" si="27"/>
        <v>LE9012076199,</v>
      </c>
    </row>
    <row r="1649" spans="3:4">
      <c r="C1649" t="s">
        <v>3670</v>
      </c>
      <c r="D1649" t="str">
        <f t="shared" si="27"/>
        <v>KI0038944221,</v>
      </c>
    </row>
    <row r="1650" spans="3:4">
      <c r="C1650" t="s">
        <v>3671</v>
      </c>
      <c r="D1650" t="str">
        <f t="shared" si="27"/>
        <v>KI9012032089,</v>
      </c>
    </row>
    <row r="1651" spans="3:4">
      <c r="C1651" t="s">
        <v>3672</v>
      </c>
      <c r="D1651" t="str">
        <f t="shared" si="27"/>
        <v>LE0599585135,</v>
      </c>
    </row>
    <row r="1652" spans="3:4">
      <c r="C1652" t="s">
        <v>3673</v>
      </c>
      <c r="D1652" t="str">
        <f t="shared" si="27"/>
        <v>LE0125876809,</v>
      </c>
    </row>
    <row r="1653" spans="3:4">
      <c r="C1653" t="s">
        <v>3674</v>
      </c>
      <c r="D1653" t="str">
        <f t="shared" si="27"/>
        <v>LE0125823650,</v>
      </c>
    </row>
    <row r="1654" spans="3:4">
      <c r="C1654" t="s">
        <v>3675</v>
      </c>
      <c r="D1654" t="str">
        <f t="shared" si="27"/>
        <v>OK0125431698,</v>
      </c>
    </row>
    <row r="1655" spans="3:4">
      <c r="C1655" t="s">
        <v>3676</v>
      </c>
      <c r="D1655" t="str">
        <f t="shared" si="27"/>
        <v>WC0126096806,</v>
      </c>
    </row>
    <row r="1656" spans="3:4">
      <c r="C1656" t="s">
        <v>3677</v>
      </c>
      <c r="D1656" t="str">
        <f t="shared" si="27"/>
        <v>KI0043544262,</v>
      </c>
    </row>
    <row r="1657" spans="3:4">
      <c r="C1657" t="s">
        <v>3678</v>
      </c>
      <c r="D1657" t="str">
        <f t="shared" si="27"/>
        <v>DY0599371283,</v>
      </c>
    </row>
    <row r="1658" spans="3:4">
      <c r="C1658" t="s">
        <v>3679</v>
      </c>
      <c r="D1658" t="str">
        <f t="shared" si="27"/>
        <v>GW0126303592,</v>
      </c>
    </row>
    <row r="1659" spans="3:4">
      <c r="C1659" t="s">
        <v>3680</v>
      </c>
      <c r="D1659" t="str">
        <f t="shared" si="27"/>
        <v>LE0599827909,</v>
      </c>
    </row>
    <row r="1660" spans="3:4">
      <c r="C1660" t="s">
        <v>3681</v>
      </c>
      <c r="D1660" t="str">
        <f t="shared" si="27"/>
        <v>KI0424941499,</v>
      </c>
    </row>
    <row r="1661" spans="3:4">
      <c r="C1661" t="s">
        <v>3682</v>
      </c>
      <c r="D1661" t="str">
        <f t="shared" si="27"/>
        <v>LE0125890835,</v>
      </c>
    </row>
    <row r="1662" spans="3:4">
      <c r="C1662" t="s">
        <v>3683</v>
      </c>
      <c r="D1662" t="str">
        <f t="shared" si="27"/>
        <v>KI0424920149,</v>
      </c>
    </row>
    <row r="1663" spans="3:4">
      <c r="C1663" t="s">
        <v>3684</v>
      </c>
      <c r="D1663" t="str">
        <f t="shared" si="27"/>
        <v>LE0599602714,</v>
      </c>
    </row>
    <row r="1664" spans="3:4">
      <c r="C1664" t="s">
        <v>3685</v>
      </c>
      <c r="D1664" t="str">
        <f t="shared" si="27"/>
        <v>SA0598082969,</v>
      </c>
    </row>
    <row r="1665" spans="3:4">
      <c r="C1665" t="s">
        <v>3686</v>
      </c>
      <c r="D1665" t="str">
        <f t="shared" si="27"/>
        <v>LE0599858567,</v>
      </c>
    </row>
    <row r="1666" spans="3:4">
      <c r="C1666" t="s">
        <v>3687</v>
      </c>
      <c r="D1666" t="str">
        <f t="shared" si="27"/>
        <v>GK0125309660,</v>
      </c>
    </row>
    <row r="1667" spans="3:4">
      <c r="C1667" t="s">
        <v>3688</v>
      </c>
      <c r="D1667" t="str">
        <f t="shared" si="27"/>
        <v>LE0394921919,</v>
      </c>
    </row>
    <row r="1668" spans="3:4">
      <c r="C1668" t="s">
        <v>3689</v>
      </c>
      <c r="D1668" t="str">
        <f t="shared" si="27"/>
        <v>SL0599359574,</v>
      </c>
    </row>
    <row r="1669" spans="3:4">
      <c r="C1669" t="s">
        <v>3690</v>
      </c>
      <c r="D1669" t="str">
        <f t="shared" si="27"/>
        <v>SA0126236299,</v>
      </c>
    </row>
    <row r="1670" spans="3:4">
      <c r="C1670" t="s">
        <v>3691</v>
      </c>
      <c r="D1670" t="str">
        <f t="shared" si="27"/>
        <v>SW0125554889,</v>
      </c>
    </row>
    <row r="1671" spans="3:4">
      <c r="C1671" t="s">
        <v>3692</v>
      </c>
      <c r="D1671" t="str">
        <f t="shared" si="27"/>
        <v>ID0126294208,</v>
      </c>
    </row>
    <row r="1672" spans="3:4">
      <c r="C1672" t="s">
        <v>3693</v>
      </c>
      <c r="D1672" t="str">
        <f t="shared" si="27"/>
        <v>SW0126178127,</v>
      </c>
    </row>
    <row r="1673" spans="3:4">
      <c r="C1673" t="s">
        <v>3694</v>
      </c>
      <c r="D1673" t="str">
        <f t="shared" si="27"/>
        <v>LE0125830113,</v>
      </c>
    </row>
    <row r="1674" spans="3:4">
      <c r="C1674" t="s">
        <v>3695</v>
      </c>
      <c r="D1674" t="str">
        <f t="shared" si="27"/>
        <v>SL0126161531,</v>
      </c>
    </row>
    <row r="1675" spans="3:4">
      <c r="C1675" t="s">
        <v>3696</v>
      </c>
      <c r="D1675" t="str">
        <f t="shared" si="27"/>
        <v>BM0124279351,</v>
      </c>
    </row>
    <row r="1676" spans="3:4">
      <c r="C1676" t="s">
        <v>3697</v>
      </c>
      <c r="D1676" t="str">
        <f t="shared" si="27"/>
        <v>SW0125261764,</v>
      </c>
    </row>
    <row r="1677" spans="3:4">
      <c r="C1677" t="s">
        <v>3698</v>
      </c>
      <c r="D1677" t="str">
        <f t="shared" si="27"/>
        <v>LE0126300135,</v>
      </c>
    </row>
    <row r="1678" spans="3:4">
      <c r="C1678" t="s">
        <v>3699</v>
      </c>
      <c r="D1678" t="str">
        <f t="shared" si="27"/>
        <v>GW0599951437,</v>
      </c>
    </row>
    <row r="1679" spans="3:4">
      <c r="C1679" t="s">
        <v>3700</v>
      </c>
      <c r="D1679" t="str">
        <f t="shared" si="27"/>
        <v>RN0125352979,</v>
      </c>
    </row>
    <row r="1680" spans="3:4">
      <c r="C1680" t="s">
        <v>3701</v>
      </c>
      <c r="D1680" t="str">
        <f t="shared" si="27"/>
        <v>SH0125428379,</v>
      </c>
    </row>
    <row r="1681" spans="3:4">
      <c r="C1681" t="s">
        <v>3702</v>
      </c>
      <c r="D1681" t="str">
        <f t="shared" si="27"/>
        <v>PP0394808171,</v>
      </c>
    </row>
    <row r="1682" spans="3:4">
      <c r="C1682" t="s">
        <v>3703</v>
      </c>
      <c r="D1682" t="str">
        <f t="shared" si="27"/>
        <v>LE0126300128,</v>
      </c>
    </row>
    <row r="1683" spans="3:4">
      <c r="C1683" t="s">
        <v>3704</v>
      </c>
      <c r="D1683" t="str">
        <f t="shared" si="27"/>
        <v>SP0126271175,</v>
      </c>
    </row>
    <row r="1684" spans="3:4">
      <c r="C1684" t="s">
        <v>3705</v>
      </c>
      <c r="D1684" t="str">
        <f t="shared" si="27"/>
        <v>MX0394996763,</v>
      </c>
    </row>
    <row r="1685" spans="3:4">
      <c r="C1685" t="s">
        <v>3706</v>
      </c>
      <c r="D1685" t="str">
        <f t="shared" si="27"/>
        <v>KI0424948751,</v>
      </c>
    </row>
    <row r="1686" spans="3:4">
      <c r="C1686" t="s">
        <v>3707</v>
      </c>
      <c r="D1686" t="str">
        <f t="shared" si="27"/>
        <v>KI0424934666,</v>
      </c>
    </row>
    <row r="1687" spans="3:4">
      <c r="C1687" t="s">
        <v>3708</v>
      </c>
      <c r="D1687" t="str">
        <f t="shared" si="27"/>
        <v>GK0599248305,</v>
      </c>
    </row>
    <row r="1688" spans="3:4">
      <c r="C1688" t="s">
        <v>3709</v>
      </c>
      <c r="D1688" t="str">
        <f t="shared" si="27"/>
        <v>MR0593655806,</v>
      </c>
    </row>
    <row r="1689" spans="3:4">
      <c r="C1689" t="s">
        <v>3710</v>
      </c>
      <c r="D1689" t="str">
        <f t="shared" si="27"/>
        <v>LE0599885410,</v>
      </c>
    </row>
    <row r="1690" spans="3:4">
      <c r="C1690" t="s">
        <v>3711</v>
      </c>
      <c r="D1690" t="str">
        <f t="shared" si="27"/>
        <v>KI0645386743,</v>
      </c>
    </row>
    <row r="1691" spans="3:4">
      <c r="C1691" t="s">
        <v>3712</v>
      </c>
      <c r="D1691" t="str">
        <f t="shared" si="27"/>
        <v>SA0599813244,</v>
      </c>
    </row>
    <row r="1692" spans="3:4">
      <c r="C1692" t="s">
        <v>3713</v>
      </c>
      <c r="D1692" t="str">
        <f t="shared" si="27"/>
        <v>RW0126198899,</v>
      </c>
    </row>
    <row r="1693" spans="3:4">
      <c r="C1693" t="s">
        <v>3714</v>
      </c>
      <c r="D1693" t="str">
        <f t="shared" si="27"/>
        <v>LE0125889699,</v>
      </c>
    </row>
    <row r="1694" spans="3:4">
      <c r="C1694" t="s">
        <v>3715</v>
      </c>
      <c r="D1694" t="str">
        <f t="shared" si="27"/>
        <v>LE0599599749,</v>
      </c>
    </row>
    <row r="1695" spans="3:4">
      <c r="C1695" t="s">
        <v>3716</v>
      </c>
      <c r="D1695" t="str">
        <f t="shared" ref="D1695:D1758" si="28">""&amp;C1695&amp;","</f>
        <v>SL0126163711,</v>
      </c>
    </row>
    <row r="1696" spans="3:4">
      <c r="C1696" t="s">
        <v>3717</v>
      </c>
      <c r="D1696" t="str">
        <f t="shared" si="28"/>
        <v>LE0599837388,</v>
      </c>
    </row>
    <row r="1697" spans="3:4">
      <c r="C1697" t="s">
        <v>3718</v>
      </c>
      <c r="D1697" t="str">
        <f t="shared" si="28"/>
        <v>LE0599837401,</v>
      </c>
    </row>
    <row r="1698" spans="3:4">
      <c r="C1698" t="s">
        <v>3719</v>
      </c>
      <c r="D1698" t="str">
        <f t="shared" si="28"/>
        <v>KI0702217564,</v>
      </c>
    </row>
    <row r="1699" spans="3:4">
      <c r="C1699" t="s">
        <v>3720</v>
      </c>
      <c r="D1699" t="str">
        <f t="shared" si="28"/>
        <v>KI7508980398,</v>
      </c>
    </row>
    <row r="1700" spans="3:4">
      <c r="C1700" t="s">
        <v>3721</v>
      </c>
      <c r="D1700" t="str">
        <f t="shared" si="28"/>
        <v>MX0599531636,</v>
      </c>
    </row>
    <row r="1701" spans="3:4">
      <c r="C1701" t="s">
        <v>3722</v>
      </c>
      <c r="D1701" t="str">
        <f t="shared" si="28"/>
        <v>RN0553420412,</v>
      </c>
    </row>
    <row r="1702" spans="3:4">
      <c r="C1702" t="s">
        <v>3723</v>
      </c>
      <c r="D1702" t="str">
        <f t="shared" si="28"/>
        <v>SI0125628680,</v>
      </c>
    </row>
    <row r="1703" spans="3:4">
      <c r="C1703" t="s">
        <v>3724</v>
      </c>
      <c r="D1703" t="str">
        <f t="shared" si="28"/>
        <v>SI0125628679,</v>
      </c>
    </row>
    <row r="1704" spans="3:4">
      <c r="C1704" t="s">
        <v>3725</v>
      </c>
      <c r="D1704" t="str">
        <f t="shared" si="28"/>
        <v>SI0125628678,</v>
      </c>
    </row>
    <row r="1705" spans="3:4">
      <c r="C1705" t="s">
        <v>3726</v>
      </c>
      <c r="D1705" t="str">
        <f t="shared" si="28"/>
        <v>LE0295291345,</v>
      </c>
    </row>
    <row r="1706" spans="3:4">
      <c r="C1706" t="s">
        <v>3727</v>
      </c>
      <c r="D1706" t="str">
        <f t="shared" si="28"/>
        <v>HR0126358366,</v>
      </c>
    </row>
    <row r="1707" spans="3:4">
      <c r="C1707" t="s">
        <v>3728</v>
      </c>
      <c r="D1707" t="str">
        <f t="shared" si="28"/>
        <v>LE0125727133,</v>
      </c>
    </row>
    <row r="1708" spans="3:4">
      <c r="C1708" t="s">
        <v>3729</v>
      </c>
      <c r="D1708" t="str">
        <f t="shared" si="28"/>
        <v>LE0295283095,</v>
      </c>
    </row>
    <row r="1709" spans="3:4">
      <c r="C1709" t="s">
        <v>3730</v>
      </c>
      <c r="D1709" t="str">
        <f t="shared" si="28"/>
        <v>LE0295283187,</v>
      </c>
    </row>
    <row r="1710" spans="3:4">
      <c r="C1710" t="s">
        <v>3731</v>
      </c>
      <c r="D1710" t="str">
        <f t="shared" si="28"/>
        <v>KI0043652651,</v>
      </c>
    </row>
    <row r="1711" spans="3:4">
      <c r="C1711" t="s">
        <v>3732</v>
      </c>
      <c r="D1711" t="str">
        <f t="shared" si="28"/>
        <v>KI0043652723,</v>
      </c>
    </row>
    <row r="1712" spans="3:4">
      <c r="C1712" t="s">
        <v>3733</v>
      </c>
      <c r="D1712" t="str">
        <f t="shared" si="28"/>
        <v>NW0599928218,</v>
      </c>
    </row>
    <row r="1713" spans="3:4">
      <c r="C1713" t="s">
        <v>3734</v>
      </c>
      <c r="D1713" t="str">
        <f t="shared" si="28"/>
        <v>KI0645427706,</v>
      </c>
    </row>
    <row r="1714" spans="3:4">
      <c r="C1714" t="s">
        <v>3735</v>
      </c>
      <c r="D1714" t="str">
        <f t="shared" si="28"/>
        <v>GW7514767587,</v>
      </c>
    </row>
    <row r="1715" spans="3:4">
      <c r="C1715" t="s">
        <v>3736</v>
      </c>
      <c r="D1715" t="str">
        <f t="shared" si="28"/>
        <v>RW0580026024,</v>
      </c>
    </row>
    <row r="1716" spans="3:4">
      <c r="C1716" t="s">
        <v>3737</v>
      </c>
      <c r="D1716" t="str">
        <f t="shared" si="28"/>
        <v>SL9012054131,</v>
      </c>
    </row>
    <row r="1717" spans="3:4">
      <c r="C1717" t="s">
        <v>3738</v>
      </c>
      <c r="D1717" t="str">
        <f t="shared" si="28"/>
        <v>KI9012073330,</v>
      </c>
    </row>
    <row r="1718" spans="3:4">
      <c r="C1718" t="s">
        <v>1172</v>
      </c>
      <c r="D1718" t="str">
        <f t="shared" si="28"/>
        <v>AT9012151693,</v>
      </c>
    </row>
    <row r="1719" spans="3:4">
      <c r="C1719" t="s">
        <v>3739</v>
      </c>
      <c r="D1719" t="str">
        <f t="shared" si="28"/>
        <v>ID0125498803,</v>
      </c>
    </row>
    <row r="1720" spans="3:4">
      <c r="C1720" t="s">
        <v>3740</v>
      </c>
      <c r="D1720" t="str">
        <f t="shared" si="28"/>
        <v>KI7508936342,</v>
      </c>
    </row>
    <row r="1721" spans="3:4">
      <c r="C1721" t="s">
        <v>1626</v>
      </c>
      <c r="D1721" t="str">
        <f t="shared" si="28"/>
        <v>HD9012182319,</v>
      </c>
    </row>
    <row r="1722" spans="3:4">
      <c r="C1722" t="s">
        <v>3741</v>
      </c>
      <c r="D1722" t="str">
        <f t="shared" si="28"/>
        <v>OK9012159888,</v>
      </c>
    </row>
    <row r="1723" spans="3:4">
      <c r="C1723" t="s">
        <v>1244</v>
      </c>
      <c r="D1723" t="str">
        <f t="shared" si="28"/>
        <v>SL9012145566,</v>
      </c>
    </row>
    <row r="1724" spans="3:4">
      <c r="C1724" t="s">
        <v>1303</v>
      </c>
      <c r="D1724" t="str">
        <f t="shared" si="28"/>
        <v>SL9012160519,</v>
      </c>
    </row>
    <row r="1725" spans="3:4">
      <c r="C1725" t="s">
        <v>3742</v>
      </c>
      <c r="D1725" t="str">
        <f t="shared" si="28"/>
        <v>KI9012020351,</v>
      </c>
    </row>
    <row r="1726" spans="3:4">
      <c r="C1726" t="s">
        <v>1616</v>
      </c>
      <c r="D1726" t="str">
        <f t="shared" si="28"/>
        <v>PT9012000679,</v>
      </c>
    </row>
    <row r="1727" spans="3:4">
      <c r="C1727" t="s">
        <v>1294</v>
      </c>
      <c r="D1727" t="str">
        <f t="shared" si="28"/>
        <v>SL9012160505,</v>
      </c>
    </row>
    <row r="1728" spans="3:4">
      <c r="C1728" t="s">
        <v>3743</v>
      </c>
      <c r="D1728" t="str">
        <f t="shared" si="28"/>
        <v>HS9011772878,</v>
      </c>
    </row>
    <row r="1729" spans="3:4">
      <c r="C1729" t="s">
        <v>3744</v>
      </c>
      <c r="D1729" t="str">
        <f t="shared" si="28"/>
        <v>MM9011735147,</v>
      </c>
    </row>
    <row r="1730" spans="3:4">
      <c r="C1730" t="s">
        <v>3745</v>
      </c>
      <c r="D1730" t="str">
        <f t="shared" si="28"/>
        <v>AT7504825716,</v>
      </c>
    </row>
    <row r="1731" spans="3:4">
      <c r="C1731" t="s">
        <v>3746</v>
      </c>
      <c r="D1731" t="str">
        <f t="shared" si="28"/>
        <v>GT7514188316,</v>
      </c>
    </row>
    <row r="1732" spans="3:4">
      <c r="C1732" t="s">
        <v>3747</v>
      </c>
      <c r="D1732" t="str">
        <f t="shared" si="28"/>
        <v>NO9011784262,</v>
      </c>
    </row>
    <row r="1733" spans="3:4">
      <c r="C1733" t="s">
        <v>3748</v>
      </c>
      <c r="D1733" t="str">
        <f t="shared" si="28"/>
        <v>HD9012174805,</v>
      </c>
    </row>
    <row r="1734" spans="3:4">
      <c r="C1734" t="s">
        <v>3749</v>
      </c>
      <c r="D1734" t="str">
        <f t="shared" si="28"/>
        <v>LE7510010577,</v>
      </c>
    </row>
    <row r="1735" spans="3:4">
      <c r="C1735" t="s">
        <v>1665</v>
      </c>
      <c r="D1735" t="str">
        <f t="shared" si="28"/>
        <v>HD9012186151,</v>
      </c>
    </row>
    <row r="1736" spans="3:4">
      <c r="C1736" t="s">
        <v>3750</v>
      </c>
      <c r="D1736" t="str">
        <f t="shared" si="28"/>
        <v>KI0043480460,</v>
      </c>
    </row>
    <row r="1737" spans="3:4">
      <c r="C1737" t="s">
        <v>3751</v>
      </c>
      <c r="D1737" t="str">
        <f t="shared" si="28"/>
        <v>AT0724231569,</v>
      </c>
    </row>
    <row r="1738" spans="3:4">
      <c r="C1738" t="s">
        <v>3752</v>
      </c>
      <c r="D1738" t="str">
        <f t="shared" si="28"/>
        <v>ID0125592164,</v>
      </c>
    </row>
    <row r="1739" spans="3:4">
      <c r="C1739" t="s">
        <v>3753</v>
      </c>
      <c r="D1739" t="str">
        <f t="shared" si="28"/>
        <v>KI0717849203,</v>
      </c>
    </row>
    <row r="1740" spans="3:4">
      <c r="C1740" t="s">
        <v>3754</v>
      </c>
      <c r="D1740" t="str">
        <f t="shared" si="28"/>
        <v>UE7509875269,</v>
      </c>
    </row>
    <row r="1741" spans="3:4">
      <c r="C1741" t="s">
        <v>3755</v>
      </c>
      <c r="D1741" t="str">
        <f t="shared" si="28"/>
        <v>AT7504325569,</v>
      </c>
    </row>
    <row r="1742" spans="3:4">
      <c r="C1742" t="s">
        <v>3756</v>
      </c>
      <c r="D1742" t="str">
        <f t="shared" si="28"/>
        <v>BN0060747277,</v>
      </c>
    </row>
    <row r="1743" spans="3:4">
      <c r="C1743" t="s">
        <v>3757</v>
      </c>
      <c r="D1743" t="str">
        <f t="shared" si="28"/>
        <v>LE7508297946,</v>
      </c>
    </row>
    <row r="1744" spans="3:4">
      <c r="C1744" t="s">
        <v>3758</v>
      </c>
      <c r="D1744" t="str">
        <f t="shared" si="28"/>
        <v>KI9012155692,</v>
      </c>
    </row>
    <row r="1745" spans="3:4">
      <c r="C1745" t="s">
        <v>3759</v>
      </c>
      <c r="D1745" t="str">
        <f t="shared" si="28"/>
        <v>KI7508597435,</v>
      </c>
    </row>
    <row r="1746" spans="3:4">
      <c r="C1746" t="s">
        <v>3760</v>
      </c>
      <c r="D1746" t="str">
        <f t="shared" si="28"/>
        <v>LE0750840399,</v>
      </c>
    </row>
    <row r="1747" spans="3:4">
      <c r="C1747" t="s">
        <v>3761</v>
      </c>
      <c r="D1747" t="str">
        <f t="shared" si="28"/>
        <v>ID7504325934,</v>
      </c>
    </row>
    <row r="1748" spans="3:4">
      <c r="C1748" t="s">
        <v>3762</v>
      </c>
      <c r="D1748" t="str">
        <f t="shared" si="28"/>
        <v>KI7520865047,</v>
      </c>
    </row>
    <row r="1749" spans="3:4">
      <c r="C1749" t="s">
        <v>3763</v>
      </c>
      <c r="D1749" t="str">
        <f t="shared" si="28"/>
        <v>AT7504325268,</v>
      </c>
    </row>
    <row r="1750" spans="3:4">
      <c r="C1750" t="s">
        <v>3764</v>
      </c>
      <c r="D1750" t="str">
        <f t="shared" si="28"/>
        <v>MM0069531470,</v>
      </c>
    </row>
    <row r="1751" spans="3:4">
      <c r="C1751" t="s">
        <v>3765</v>
      </c>
      <c r="D1751" t="str">
        <f t="shared" si="28"/>
        <v>PW0599946025,</v>
      </c>
    </row>
    <row r="1752" spans="3:4">
      <c r="C1752" t="s">
        <v>3766</v>
      </c>
      <c r="D1752" t="str">
        <f t="shared" si="28"/>
        <v>KI7508710602,</v>
      </c>
    </row>
    <row r="1753" spans="3:4">
      <c r="C1753" t="s">
        <v>3767</v>
      </c>
      <c r="D1753" t="str">
        <f t="shared" si="28"/>
        <v>KI0624531756,</v>
      </c>
    </row>
    <row r="1754" spans="3:4">
      <c r="C1754" t="s">
        <v>3768</v>
      </c>
      <c r="D1754" t="str">
        <f t="shared" si="28"/>
        <v>PW0125674649,</v>
      </c>
    </row>
    <row r="1755" spans="3:4">
      <c r="C1755" t="s">
        <v>3769</v>
      </c>
      <c r="D1755" t="str">
        <f t="shared" si="28"/>
        <v>DI7508807684,</v>
      </c>
    </row>
    <row r="1756" spans="3:4">
      <c r="C1756" t="s">
        <v>3770</v>
      </c>
      <c r="D1756" t="str">
        <f t="shared" si="28"/>
        <v>KI0048595033,</v>
      </c>
    </row>
    <row r="1757" spans="3:4">
      <c r="C1757" t="s">
        <v>3771</v>
      </c>
      <c r="D1757" t="str">
        <f t="shared" si="28"/>
        <v>AT0394757466,</v>
      </c>
    </row>
    <row r="1758" spans="3:4">
      <c r="C1758" t="s">
        <v>3772</v>
      </c>
      <c r="D1758" t="str">
        <f t="shared" si="28"/>
        <v>FS0709245619,</v>
      </c>
    </row>
    <row r="1759" spans="3:4">
      <c r="C1759" t="s">
        <v>3773</v>
      </c>
      <c r="D1759" t="str">
        <f t="shared" ref="D1759:D1822" si="29">""&amp;C1759&amp;","</f>
        <v>KI0508672175,</v>
      </c>
    </row>
    <row r="1760" spans="3:4">
      <c r="C1760" t="s">
        <v>3774</v>
      </c>
      <c r="D1760" t="str">
        <f t="shared" si="29"/>
        <v>LE9012014148,</v>
      </c>
    </row>
    <row r="1761" spans="3:4">
      <c r="C1761" t="s">
        <v>3775</v>
      </c>
      <c r="D1761" t="str">
        <f t="shared" si="29"/>
        <v>KI0750863522,</v>
      </c>
    </row>
    <row r="1762" spans="3:4">
      <c r="C1762" t="s">
        <v>3776</v>
      </c>
      <c r="D1762" t="str">
        <f t="shared" si="29"/>
        <v>AT7504326365,</v>
      </c>
    </row>
    <row r="1763" spans="3:4">
      <c r="C1763" t="s">
        <v>3777</v>
      </c>
      <c r="D1763" t="str">
        <f t="shared" si="29"/>
        <v>LE0295483042,</v>
      </c>
    </row>
    <row r="1764" spans="3:4">
      <c r="C1764" t="s">
        <v>3778</v>
      </c>
      <c r="D1764" t="str">
        <f t="shared" si="29"/>
        <v>FS7502136064,</v>
      </c>
    </row>
    <row r="1765" spans="3:4">
      <c r="C1765" t="s">
        <v>3779</v>
      </c>
      <c r="D1765" t="str">
        <f t="shared" si="29"/>
        <v>KI0717908405,</v>
      </c>
    </row>
    <row r="1766" spans="3:4">
      <c r="C1766" t="s">
        <v>3780</v>
      </c>
      <c r="D1766" t="str">
        <f t="shared" si="29"/>
        <v>RW7507324801,</v>
      </c>
    </row>
    <row r="1767" spans="3:4">
      <c r="C1767" t="s">
        <v>3781</v>
      </c>
      <c r="D1767" t="str">
        <f t="shared" si="29"/>
        <v>KI0043484359,</v>
      </c>
    </row>
    <row r="1768" spans="3:4">
      <c r="C1768" t="s">
        <v>3782</v>
      </c>
      <c r="D1768" t="str">
        <f t="shared" si="29"/>
        <v>KI0035679471,</v>
      </c>
    </row>
    <row r="1769" spans="3:4">
      <c r="C1769" t="s">
        <v>3783</v>
      </c>
      <c r="D1769" t="str">
        <f t="shared" si="29"/>
        <v>KI0023000586,</v>
      </c>
    </row>
    <row r="1770" spans="3:4">
      <c r="C1770" t="s">
        <v>3784</v>
      </c>
      <c r="D1770" t="str">
        <f t="shared" si="29"/>
        <v>ID0002653764,</v>
      </c>
    </row>
    <row r="1771" spans="3:4">
      <c r="C1771" t="s">
        <v>3785</v>
      </c>
      <c r="D1771" t="str">
        <f t="shared" si="29"/>
        <v>KI0023470364,</v>
      </c>
    </row>
    <row r="1772" spans="3:4">
      <c r="C1772" t="s">
        <v>3786</v>
      </c>
      <c r="D1772" t="str">
        <f t="shared" si="29"/>
        <v>AM7513778661,</v>
      </c>
    </row>
    <row r="1773" spans="3:4">
      <c r="C1773" t="s">
        <v>3787</v>
      </c>
      <c r="D1773" t="str">
        <f t="shared" si="29"/>
        <v>AM7513833984,</v>
      </c>
    </row>
    <row r="1774" spans="3:4">
      <c r="C1774" t="s">
        <v>3788</v>
      </c>
      <c r="D1774" t="str">
        <f t="shared" si="29"/>
        <v>AM7513841038,</v>
      </c>
    </row>
    <row r="1775" spans="3:4">
      <c r="C1775" t="s">
        <v>3789</v>
      </c>
      <c r="D1775" t="str">
        <f t="shared" si="29"/>
        <v>AT7504325807,</v>
      </c>
    </row>
    <row r="1776" spans="3:4">
      <c r="C1776" t="s">
        <v>3790</v>
      </c>
      <c r="D1776" t="str">
        <f t="shared" si="29"/>
        <v>AT7504326624,</v>
      </c>
    </row>
    <row r="1777" spans="3:4">
      <c r="C1777" t="s">
        <v>3791</v>
      </c>
      <c r="D1777" t="str">
        <f t="shared" si="29"/>
        <v>AT7504326790,</v>
      </c>
    </row>
    <row r="1778" spans="3:4">
      <c r="C1778" t="s">
        <v>3792</v>
      </c>
      <c r="D1778" t="str">
        <f t="shared" si="29"/>
        <v>AT7504326801,</v>
      </c>
    </row>
    <row r="1779" spans="3:4">
      <c r="C1779" t="s">
        <v>3793</v>
      </c>
      <c r="D1779" t="str">
        <f t="shared" si="29"/>
        <v>AT7504326839,</v>
      </c>
    </row>
    <row r="1780" spans="3:4">
      <c r="C1780" t="s">
        <v>3794</v>
      </c>
      <c r="D1780" t="str">
        <f t="shared" si="29"/>
        <v>AT7504326862,</v>
      </c>
    </row>
    <row r="1781" spans="3:4">
      <c r="C1781" t="s">
        <v>3795</v>
      </c>
      <c r="D1781" t="str">
        <f t="shared" si="29"/>
        <v>AT7504326869,</v>
      </c>
    </row>
    <row r="1782" spans="3:4">
      <c r="C1782" t="s">
        <v>3796</v>
      </c>
      <c r="D1782" t="str">
        <f t="shared" si="29"/>
        <v>AT7504326995,</v>
      </c>
    </row>
    <row r="1783" spans="3:4">
      <c r="C1783" t="s">
        <v>3797</v>
      </c>
      <c r="D1783" t="str">
        <f t="shared" si="29"/>
        <v>AT7504327080,</v>
      </c>
    </row>
    <row r="1784" spans="3:4">
      <c r="C1784" t="s">
        <v>3798</v>
      </c>
      <c r="D1784" t="str">
        <f t="shared" si="29"/>
        <v>AT7504327430,</v>
      </c>
    </row>
    <row r="1785" spans="3:4">
      <c r="C1785" t="s">
        <v>3799</v>
      </c>
      <c r="D1785" t="str">
        <f t="shared" si="29"/>
        <v>BA7507942041,</v>
      </c>
    </row>
    <row r="1786" spans="3:4">
      <c r="C1786" t="s">
        <v>3800</v>
      </c>
      <c r="D1786" t="str">
        <f t="shared" si="29"/>
        <v>BA7507943328,</v>
      </c>
    </row>
    <row r="1787" spans="3:4">
      <c r="C1787" t="s">
        <v>3801</v>
      </c>
      <c r="D1787" t="str">
        <f t="shared" si="29"/>
        <v>BK0060184165,</v>
      </c>
    </row>
    <row r="1788" spans="3:4">
      <c r="C1788" t="s">
        <v>3802</v>
      </c>
      <c r="D1788" t="str">
        <f t="shared" si="29"/>
        <v>BL7507542474,</v>
      </c>
    </row>
    <row r="1789" spans="3:4">
      <c r="C1789" t="s">
        <v>3803</v>
      </c>
      <c r="D1789" t="str">
        <f t="shared" si="29"/>
        <v>BL7507542546,</v>
      </c>
    </row>
    <row r="1790" spans="3:4">
      <c r="C1790" t="s">
        <v>3804</v>
      </c>
      <c r="D1790" t="str">
        <f t="shared" si="29"/>
        <v>BL7507542700,</v>
      </c>
    </row>
    <row r="1791" spans="3:4">
      <c r="C1791" t="s">
        <v>3805</v>
      </c>
      <c r="D1791" t="str">
        <f t="shared" si="29"/>
        <v>BL7507542760,</v>
      </c>
    </row>
    <row r="1792" spans="3:4">
      <c r="C1792" t="s">
        <v>3806</v>
      </c>
      <c r="D1792" t="str">
        <f t="shared" si="29"/>
        <v>BW7513893326,</v>
      </c>
    </row>
    <row r="1793" spans="3:4">
      <c r="C1793" t="s">
        <v>3807</v>
      </c>
      <c r="D1793" t="str">
        <f t="shared" si="29"/>
        <v>CH0060762018,</v>
      </c>
    </row>
    <row r="1794" spans="3:4">
      <c r="C1794" t="s">
        <v>3808</v>
      </c>
      <c r="D1794" t="str">
        <f t="shared" si="29"/>
        <v>CH7503639409,</v>
      </c>
    </row>
    <row r="1795" spans="3:4">
      <c r="C1795" t="s">
        <v>3809</v>
      </c>
      <c r="D1795" t="str">
        <f t="shared" si="29"/>
        <v>DP7508558750,</v>
      </c>
    </row>
    <row r="1796" spans="3:4">
      <c r="C1796" t="s">
        <v>3810</v>
      </c>
      <c r="D1796" t="str">
        <f t="shared" si="29"/>
        <v>DP7508561100,</v>
      </c>
    </row>
    <row r="1797" spans="3:4">
      <c r="C1797" t="s">
        <v>3811</v>
      </c>
      <c r="D1797" t="str">
        <f t="shared" si="29"/>
        <v>FS7512043359,</v>
      </c>
    </row>
    <row r="1798" spans="3:4">
      <c r="C1798" t="s">
        <v>1437</v>
      </c>
      <c r="D1798" t="str">
        <f t="shared" si="29"/>
        <v>FS7512063463,</v>
      </c>
    </row>
    <row r="1799" spans="3:4">
      <c r="C1799" t="s">
        <v>3812</v>
      </c>
      <c r="D1799" t="str">
        <f t="shared" si="29"/>
        <v>FS7512072617,</v>
      </c>
    </row>
    <row r="1800" spans="3:4">
      <c r="C1800" t="s">
        <v>3813</v>
      </c>
      <c r="D1800" t="str">
        <f t="shared" si="29"/>
        <v>FS7512073697,</v>
      </c>
    </row>
    <row r="1801" spans="3:4">
      <c r="C1801" t="s">
        <v>3814</v>
      </c>
      <c r="D1801" t="str">
        <f t="shared" si="29"/>
        <v>FS7512095528,</v>
      </c>
    </row>
    <row r="1802" spans="3:4">
      <c r="C1802" t="s">
        <v>3815</v>
      </c>
      <c r="D1802" t="str">
        <f t="shared" si="29"/>
        <v>FS7512103762,</v>
      </c>
    </row>
    <row r="1803" spans="3:4">
      <c r="C1803" t="s">
        <v>3816</v>
      </c>
      <c r="D1803" t="str">
        <f t="shared" si="29"/>
        <v>FS7512111669,</v>
      </c>
    </row>
    <row r="1804" spans="3:4">
      <c r="C1804" t="s">
        <v>3817</v>
      </c>
      <c r="D1804" t="str">
        <f t="shared" si="29"/>
        <v>FS7512113851,</v>
      </c>
    </row>
    <row r="1805" spans="3:4">
      <c r="C1805" t="s">
        <v>3818</v>
      </c>
      <c r="D1805" t="str">
        <f t="shared" si="29"/>
        <v>FS7512117706,</v>
      </c>
    </row>
    <row r="1806" spans="3:4">
      <c r="C1806" t="s">
        <v>3819</v>
      </c>
      <c r="D1806" t="str">
        <f t="shared" si="29"/>
        <v>FS7512131351,</v>
      </c>
    </row>
    <row r="1807" spans="3:4">
      <c r="C1807" t="s">
        <v>3820</v>
      </c>
      <c r="D1807" t="str">
        <f t="shared" si="29"/>
        <v>FS7512132670,</v>
      </c>
    </row>
    <row r="1808" spans="3:4">
      <c r="C1808" t="s">
        <v>3821</v>
      </c>
      <c r="D1808" t="str">
        <f t="shared" si="29"/>
        <v>FS7512135437,</v>
      </c>
    </row>
    <row r="1809" spans="3:4">
      <c r="C1809" t="s">
        <v>3822</v>
      </c>
      <c r="D1809" t="str">
        <f t="shared" si="29"/>
        <v>FS7512136318,</v>
      </c>
    </row>
    <row r="1810" spans="3:4">
      <c r="C1810" t="s">
        <v>3823</v>
      </c>
      <c r="D1810" t="str">
        <f t="shared" si="29"/>
        <v>FS7512153689,</v>
      </c>
    </row>
    <row r="1811" spans="3:4">
      <c r="C1811" t="s">
        <v>3824</v>
      </c>
      <c r="D1811" t="str">
        <f t="shared" si="29"/>
        <v>FS7512154491,</v>
      </c>
    </row>
    <row r="1812" spans="3:4">
      <c r="C1812" t="s">
        <v>3825</v>
      </c>
      <c r="D1812" t="str">
        <f t="shared" si="29"/>
        <v>FS7512159221,</v>
      </c>
    </row>
    <row r="1813" spans="3:4">
      <c r="C1813" t="s">
        <v>3826</v>
      </c>
      <c r="D1813" t="str">
        <f t="shared" si="29"/>
        <v>FS7512161923,</v>
      </c>
    </row>
    <row r="1814" spans="3:4">
      <c r="C1814" t="s">
        <v>3827</v>
      </c>
      <c r="D1814" t="str">
        <f t="shared" si="29"/>
        <v>FS7512162930,</v>
      </c>
    </row>
    <row r="1815" spans="3:4">
      <c r="C1815" t="s">
        <v>3828</v>
      </c>
      <c r="D1815" t="str">
        <f t="shared" si="29"/>
        <v>FS7512166469,</v>
      </c>
    </row>
    <row r="1816" spans="3:4">
      <c r="C1816" t="s">
        <v>3829</v>
      </c>
      <c r="D1816" t="str">
        <f t="shared" si="29"/>
        <v>FS7512166542,</v>
      </c>
    </row>
    <row r="1817" spans="3:4">
      <c r="C1817" t="s">
        <v>3830</v>
      </c>
      <c r="D1817" t="str">
        <f t="shared" si="29"/>
        <v>FS7512167233,</v>
      </c>
    </row>
    <row r="1818" spans="3:4">
      <c r="C1818" t="s">
        <v>3831</v>
      </c>
      <c r="D1818" t="str">
        <f t="shared" si="29"/>
        <v>FS7512167624,</v>
      </c>
    </row>
    <row r="1819" spans="3:4">
      <c r="C1819" t="s">
        <v>3832</v>
      </c>
      <c r="D1819" t="str">
        <f t="shared" si="29"/>
        <v>FS7512176376,</v>
      </c>
    </row>
    <row r="1820" spans="3:4">
      <c r="C1820" t="s">
        <v>3833</v>
      </c>
      <c r="D1820" t="str">
        <f t="shared" si="29"/>
        <v>FS7512176623,</v>
      </c>
    </row>
    <row r="1821" spans="3:4">
      <c r="C1821" t="s">
        <v>3834</v>
      </c>
      <c r="D1821" t="str">
        <f t="shared" si="29"/>
        <v>FS7512180263,</v>
      </c>
    </row>
    <row r="1822" spans="3:4">
      <c r="C1822" t="s">
        <v>3835</v>
      </c>
      <c r="D1822" t="str">
        <f t="shared" si="29"/>
        <v>FS7512180469,</v>
      </c>
    </row>
    <row r="1823" spans="3:4">
      <c r="C1823" t="s">
        <v>3836</v>
      </c>
      <c r="D1823" t="str">
        <f t="shared" ref="D1823:D1886" si="30">""&amp;C1823&amp;","</f>
        <v>FS7512182317,</v>
      </c>
    </row>
    <row r="1824" spans="3:4">
      <c r="C1824" t="s">
        <v>3837</v>
      </c>
      <c r="D1824" t="str">
        <f t="shared" si="30"/>
        <v>FS7512186947,</v>
      </c>
    </row>
    <row r="1825" spans="3:4">
      <c r="C1825" t="s">
        <v>3838</v>
      </c>
      <c r="D1825" t="str">
        <f t="shared" si="30"/>
        <v>FS7512187814,</v>
      </c>
    </row>
    <row r="1826" spans="3:4">
      <c r="C1826" t="s">
        <v>3839</v>
      </c>
      <c r="D1826" t="str">
        <f t="shared" si="30"/>
        <v>FS7512188248,</v>
      </c>
    </row>
    <row r="1827" spans="3:4">
      <c r="C1827" t="s">
        <v>3840</v>
      </c>
      <c r="D1827" t="str">
        <f t="shared" si="30"/>
        <v>FS7512190153,</v>
      </c>
    </row>
    <row r="1828" spans="3:4">
      <c r="C1828" t="s">
        <v>3841</v>
      </c>
      <c r="D1828" t="str">
        <f t="shared" si="30"/>
        <v>FS7512190159,</v>
      </c>
    </row>
    <row r="1829" spans="3:4">
      <c r="C1829" t="s">
        <v>3842</v>
      </c>
      <c r="D1829" t="str">
        <f t="shared" si="30"/>
        <v>FS7512190563,</v>
      </c>
    </row>
    <row r="1830" spans="3:4">
      <c r="C1830" t="s">
        <v>3843</v>
      </c>
      <c r="D1830" t="str">
        <f t="shared" si="30"/>
        <v>FS7512190681,</v>
      </c>
    </row>
    <row r="1831" spans="3:4">
      <c r="C1831" t="s">
        <v>3844</v>
      </c>
      <c r="D1831" t="str">
        <f t="shared" si="30"/>
        <v>FS7512191022,</v>
      </c>
    </row>
    <row r="1832" spans="3:4">
      <c r="C1832" t="s">
        <v>3845</v>
      </c>
      <c r="D1832" t="str">
        <f t="shared" si="30"/>
        <v>FS7512191975,</v>
      </c>
    </row>
    <row r="1833" spans="3:4">
      <c r="C1833" t="s">
        <v>3846</v>
      </c>
      <c r="D1833" t="str">
        <f t="shared" si="30"/>
        <v>FS7512192710,</v>
      </c>
    </row>
    <row r="1834" spans="3:4">
      <c r="C1834" t="s">
        <v>3847</v>
      </c>
      <c r="D1834" t="str">
        <f t="shared" si="30"/>
        <v>FS7512193548,</v>
      </c>
    </row>
    <row r="1835" spans="3:4">
      <c r="C1835" t="s">
        <v>3848</v>
      </c>
      <c r="D1835" t="str">
        <f t="shared" si="30"/>
        <v>FS7512194028,</v>
      </c>
    </row>
    <row r="1836" spans="3:4">
      <c r="C1836" t="s">
        <v>3849</v>
      </c>
      <c r="D1836" t="str">
        <f t="shared" si="30"/>
        <v>FS7512194729,</v>
      </c>
    </row>
    <row r="1837" spans="3:4">
      <c r="C1837" t="s">
        <v>3850</v>
      </c>
      <c r="D1837" t="str">
        <f t="shared" si="30"/>
        <v>FS7512195936,</v>
      </c>
    </row>
    <row r="1838" spans="3:4">
      <c r="C1838" t="s">
        <v>3851</v>
      </c>
      <c r="D1838" t="str">
        <f t="shared" si="30"/>
        <v>FS7512209313,</v>
      </c>
    </row>
    <row r="1839" spans="3:4">
      <c r="C1839" t="s">
        <v>3852</v>
      </c>
      <c r="D1839" t="str">
        <f t="shared" si="30"/>
        <v>FS7512372582,</v>
      </c>
    </row>
    <row r="1840" spans="3:4">
      <c r="C1840" t="s">
        <v>3853</v>
      </c>
      <c r="D1840" t="str">
        <f t="shared" si="30"/>
        <v>FS7512375143,</v>
      </c>
    </row>
    <row r="1841" spans="3:4">
      <c r="C1841" t="s">
        <v>3854</v>
      </c>
      <c r="D1841" t="str">
        <f t="shared" si="30"/>
        <v>FS7512384056,</v>
      </c>
    </row>
    <row r="1842" spans="3:4">
      <c r="C1842" t="s">
        <v>3855</v>
      </c>
      <c r="D1842" t="str">
        <f t="shared" si="30"/>
        <v>FS7512387974,</v>
      </c>
    </row>
    <row r="1843" spans="3:4">
      <c r="C1843" t="s">
        <v>3856</v>
      </c>
      <c r="D1843" t="str">
        <f t="shared" si="30"/>
        <v>FS7512388735,</v>
      </c>
    </row>
    <row r="1844" spans="3:4">
      <c r="C1844" t="s">
        <v>3857</v>
      </c>
      <c r="D1844" t="str">
        <f t="shared" si="30"/>
        <v>FS7512388763,</v>
      </c>
    </row>
    <row r="1845" spans="3:4">
      <c r="C1845" t="s">
        <v>3858</v>
      </c>
      <c r="D1845" t="str">
        <f t="shared" si="30"/>
        <v>FS7512389021,</v>
      </c>
    </row>
    <row r="1846" spans="3:4">
      <c r="C1846" t="s">
        <v>3859</v>
      </c>
      <c r="D1846" t="str">
        <f t="shared" si="30"/>
        <v>FS7512389176,</v>
      </c>
    </row>
    <row r="1847" spans="3:4">
      <c r="C1847" t="s">
        <v>3860</v>
      </c>
      <c r="D1847" t="str">
        <f t="shared" si="30"/>
        <v>FS7512389369,</v>
      </c>
    </row>
    <row r="1848" spans="3:4">
      <c r="C1848" t="s">
        <v>3861</v>
      </c>
      <c r="D1848" t="str">
        <f t="shared" si="30"/>
        <v>FS7512390121,</v>
      </c>
    </row>
    <row r="1849" spans="3:4">
      <c r="C1849" t="s">
        <v>3862</v>
      </c>
      <c r="D1849" t="str">
        <f t="shared" si="30"/>
        <v>FS9012017488,</v>
      </c>
    </row>
    <row r="1850" spans="3:4">
      <c r="C1850" t="s">
        <v>3863</v>
      </c>
      <c r="D1850" t="str">
        <f t="shared" si="30"/>
        <v>FS9012054655,</v>
      </c>
    </row>
    <row r="1851" spans="3:4">
      <c r="C1851" t="s">
        <v>3864</v>
      </c>
      <c r="D1851" t="str">
        <f t="shared" si="30"/>
        <v>GW7514766422,</v>
      </c>
    </row>
    <row r="1852" spans="3:4">
      <c r="C1852" t="s">
        <v>3865</v>
      </c>
      <c r="D1852" t="str">
        <f t="shared" si="30"/>
        <v>GW7514767485,</v>
      </c>
    </row>
    <row r="1853" spans="3:4">
      <c r="C1853" t="s">
        <v>3866</v>
      </c>
      <c r="D1853" t="str">
        <f t="shared" si="30"/>
        <v>GW7514769004,</v>
      </c>
    </row>
    <row r="1854" spans="3:4">
      <c r="C1854" t="s">
        <v>3867</v>
      </c>
      <c r="D1854" t="str">
        <f t="shared" si="30"/>
        <v>GW7514770536,</v>
      </c>
    </row>
    <row r="1855" spans="3:4">
      <c r="C1855" t="s">
        <v>2242</v>
      </c>
      <c r="D1855" t="str">
        <f t="shared" si="30"/>
        <v>GW7514771974,</v>
      </c>
    </row>
    <row r="1856" spans="3:4">
      <c r="C1856" t="s">
        <v>3868</v>
      </c>
      <c r="D1856" t="str">
        <f t="shared" si="30"/>
        <v>GW9011033591,</v>
      </c>
    </row>
    <row r="1857" spans="3:4">
      <c r="C1857" t="s">
        <v>3869</v>
      </c>
      <c r="D1857" t="str">
        <f t="shared" si="30"/>
        <v>GW9011112089,</v>
      </c>
    </row>
    <row r="1858" spans="3:4">
      <c r="C1858" t="s">
        <v>3870</v>
      </c>
      <c r="D1858" t="str">
        <f t="shared" si="30"/>
        <v>HD7514717883,</v>
      </c>
    </row>
    <row r="1859" spans="3:4">
      <c r="C1859" t="s">
        <v>3871</v>
      </c>
      <c r="D1859" t="str">
        <f t="shared" si="30"/>
        <v>HD7514721405,</v>
      </c>
    </row>
    <row r="1860" spans="3:4">
      <c r="C1860" t="s">
        <v>3872</v>
      </c>
      <c r="D1860" t="str">
        <f t="shared" si="30"/>
        <v>HD7514722330,</v>
      </c>
    </row>
    <row r="1861" spans="3:4">
      <c r="C1861" t="s">
        <v>3873</v>
      </c>
      <c r="D1861" t="str">
        <f t="shared" si="30"/>
        <v>ID0060887742,</v>
      </c>
    </row>
    <row r="1862" spans="3:4">
      <c r="C1862" t="s">
        <v>3874</v>
      </c>
      <c r="D1862" t="str">
        <f t="shared" si="30"/>
        <v>ID7501542511,</v>
      </c>
    </row>
    <row r="1863" spans="3:4">
      <c r="C1863" t="s">
        <v>3875</v>
      </c>
      <c r="D1863" t="str">
        <f t="shared" si="30"/>
        <v>ID7512527622,</v>
      </c>
    </row>
    <row r="1864" spans="3:4">
      <c r="C1864" t="s">
        <v>3876</v>
      </c>
      <c r="D1864" t="str">
        <f t="shared" si="30"/>
        <v>ID7512531862,</v>
      </c>
    </row>
    <row r="1865" spans="3:4">
      <c r="C1865" t="s">
        <v>3877</v>
      </c>
      <c r="D1865" t="str">
        <f t="shared" si="30"/>
        <v>ID7512533417,</v>
      </c>
    </row>
    <row r="1866" spans="3:4">
      <c r="C1866" t="s">
        <v>3878</v>
      </c>
      <c r="D1866" t="str">
        <f t="shared" si="30"/>
        <v>ID7512539376,</v>
      </c>
    </row>
    <row r="1867" spans="3:4">
      <c r="C1867" t="s">
        <v>3879</v>
      </c>
      <c r="D1867" t="str">
        <f t="shared" si="30"/>
        <v>ID7512540279,</v>
      </c>
    </row>
    <row r="1868" spans="3:4">
      <c r="C1868" t="s">
        <v>3880</v>
      </c>
      <c r="D1868" t="str">
        <f t="shared" si="30"/>
        <v>ID7512542849,</v>
      </c>
    </row>
    <row r="1869" spans="3:4">
      <c r="C1869" t="s">
        <v>3881</v>
      </c>
      <c r="D1869" t="str">
        <f t="shared" si="30"/>
        <v>ID7512545617,</v>
      </c>
    </row>
    <row r="1870" spans="3:4">
      <c r="C1870" t="s">
        <v>3882</v>
      </c>
      <c r="D1870" t="str">
        <f t="shared" si="30"/>
        <v>ID7512546782,</v>
      </c>
    </row>
    <row r="1871" spans="3:4">
      <c r="C1871" t="s">
        <v>3883</v>
      </c>
      <c r="D1871" t="str">
        <f t="shared" si="30"/>
        <v>ID7512546795,</v>
      </c>
    </row>
    <row r="1872" spans="3:4">
      <c r="C1872" t="s">
        <v>3884</v>
      </c>
      <c r="D1872" t="str">
        <f t="shared" si="30"/>
        <v>ID7512546998,</v>
      </c>
    </row>
    <row r="1873" spans="3:4">
      <c r="C1873" t="s">
        <v>3885</v>
      </c>
      <c r="D1873" t="str">
        <f t="shared" si="30"/>
        <v>ID7512549102,</v>
      </c>
    </row>
    <row r="1874" spans="3:4">
      <c r="C1874" t="s">
        <v>3886</v>
      </c>
      <c r="D1874" t="str">
        <f t="shared" si="30"/>
        <v>ID9012055518,</v>
      </c>
    </row>
    <row r="1875" spans="3:4">
      <c r="C1875" t="s">
        <v>3887</v>
      </c>
      <c r="D1875" t="str">
        <f t="shared" si="30"/>
        <v>ID9012072442,</v>
      </c>
    </row>
    <row r="1876" spans="3:4">
      <c r="C1876" t="s">
        <v>1466</v>
      </c>
      <c r="D1876" t="str">
        <f t="shared" si="30"/>
        <v>ID9012198315,</v>
      </c>
    </row>
    <row r="1877" spans="3:4">
      <c r="C1877" t="s">
        <v>3888</v>
      </c>
      <c r="D1877" t="str">
        <f t="shared" si="30"/>
        <v>JN7503985738,</v>
      </c>
    </row>
    <row r="1878" spans="3:4">
      <c r="C1878" t="s">
        <v>3889</v>
      </c>
      <c r="D1878" t="str">
        <f t="shared" si="30"/>
        <v>JN7503985994,</v>
      </c>
    </row>
    <row r="1879" spans="3:4">
      <c r="C1879" t="s">
        <v>3890</v>
      </c>
      <c r="D1879" t="str">
        <f t="shared" si="30"/>
        <v>JR7513596615,</v>
      </c>
    </row>
    <row r="1880" spans="3:4">
      <c r="C1880" t="s">
        <v>3891</v>
      </c>
      <c r="D1880" t="str">
        <f t="shared" si="30"/>
        <v>JR7513596854,</v>
      </c>
    </row>
    <row r="1881" spans="3:4">
      <c r="C1881" t="s">
        <v>3892</v>
      </c>
      <c r="D1881" t="str">
        <f t="shared" si="30"/>
        <v>JR7513597070,</v>
      </c>
    </row>
    <row r="1882" spans="3:4">
      <c r="C1882" t="s">
        <v>3893</v>
      </c>
      <c r="D1882" t="str">
        <f t="shared" si="30"/>
        <v>JR9011928886,</v>
      </c>
    </row>
    <row r="1883" spans="3:4">
      <c r="C1883" t="s">
        <v>3894</v>
      </c>
      <c r="D1883" t="str">
        <f t="shared" si="30"/>
        <v>KA7513711863,</v>
      </c>
    </row>
    <row r="1884" spans="3:4">
      <c r="C1884" t="s">
        <v>3895</v>
      </c>
      <c r="D1884" t="str">
        <f t="shared" si="30"/>
        <v>KA7513712579,</v>
      </c>
    </row>
    <row r="1885" spans="3:4">
      <c r="C1885" t="s">
        <v>3896</v>
      </c>
      <c r="D1885" t="str">
        <f t="shared" si="30"/>
        <v>KA7513715480,</v>
      </c>
    </row>
    <row r="1886" spans="3:4">
      <c r="C1886" t="s">
        <v>3897</v>
      </c>
      <c r="D1886" t="str">
        <f t="shared" si="30"/>
        <v>KI7500303876,</v>
      </c>
    </row>
    <row r="1887" spans="3:4">
      <c r="C1887" t="s">
        <v>3898</v>
      </c>
      <c r="D1887" t="str">
        <f t="shared" ref="D1887:D1950" si="31">""&amp;C1887&amp;","</f>
        <v>KI7500320353,</v>
      </c>
    </row>
    <row r="1888" spans="3:4">
      <c r="C1888" t="s">
        <v>3899</v>
      </c>
      <c r="D1888" t="str">
        <f t="shared" si="31"/>
        <v>KI7500321057,</v>
      </c>
    </row>
    <row r="1889" spans="3:4">
      <c r="C1889" t="s">
        <v>3900</v>
      </c>
      <c r="D1889" t="str">
        <f t="shared" si="31"/>
        <v>KI7500323928,</v>
      </c>
    </row>
    <row r="1890" spans="3:4">
      <c r="C1890" t="s">
        <v>3901</v>
      </c>
      <c r="D1890" t="str">
        <f t="shared" si="31"/>
        <v>KI7500325335,</v>
      </c>
    </row>
    <row r="1891" spans="3:4">
      <c r="C1891" t="s">
        <v>3902</v>
      </c>
      <c r="D1891" t="str">
        <f t="shared" si="31"/>
        <v>KI7506232197,</v>
      </c>
    </row>
    <row r="1892" spans="3:4">
      <c r="C1892" t="s">
        <v>3903</v>
      </c>
      <c r="D1892" t="str">
        <f t="shared" si="31"/>
        <v>KI7508610743,</v>
      </c>
    </row>
    <row r="1893" spans="3:4">
      <c r="C1893" t="s">
        <v>3904</v>
      </c>
      <c r="D1893" t="str">
        <f t="shared" si="31"/>
        <v>KI7508639849,</v>
      </c>
    </row>
    <row r="1894" spans="3:4">
      <c r="C1894" t="s">
        <v>3905</v>
      </c>
      <c r="D1894" t="str">
        <f t="shared" si="31"/>
        <v>KI7508647245,</v>
      </c>
    </row>
    <row r="1895" spans="3:4">
      <c r="C1895" t="s">
        <v>3906</v>
      </c>
      <c r="D1895" t="str">
        <f t="shared" si="31"/>
        <v>KI7508648615,</v>
      </c>
    </row>
    <row r="1896" spans="3:4">
      <c r="C1896" t="s">
        <v>3907</v>
      </c>
      <c r="D1896" t="str">
        <f t="shared" si="31"/>
        <v>KI7508667689,</v>
      </c>
    </row>
    <row r="1897" spans="3:4">
      <c r="C1897" t="s">
        <v>3908</v>
      </c>
      <c r="D1897" t="str">
        <f t="shared" si="31"/>
        <v>KI7508668775,</v>
      </c>
    </row>
    <row r="1898" spans="3:4">
      <c r="C1898" t="s">
        <v>3909</v>
      </c>
      <c r="D1898" t="str">
        <f t="shared" si="31"/>
        <v>KI7508692864,</v>
      </c>
    </row>
    <row r="1899" spans="3:4">
      <c r="C1899" t="s">
        <v>3910</v>
      </c>
      <c r="D1899" t="str">
        <f t="shared" si="31"/>
        <v>KI7508708225,</v>
      </c>
    </row>
    <row r="1900" spans="3:4">
      <c r="C1900" t="s">
        <v>3911</v>
      </c>
      <c r="D1900" t="str">
        <f t="shared" si="31"/>
        <v>KI7508732855,</v>
      </c>
    </row>
    <row r="1901" spans="3:4">
      <c r="C1901" t="s">
        <v>3912</v>
      </c>
      <c r="D1901" t="str">
        <f t="shared" si="31"/>
        <v>KI7508754783,</v>
      </c>
    </row>
    <row r="1902" spans="3:4">
      <c r="C1902" t="s">
        <v>3913</v>
      </c>
      <c r="D1902" t="str">
        <f t="shared" si="31"/>
        <v>KI7508768265,</v>
      </c>
    </row>
    <row r="1903" spans="3:4">
      <c r="C1903" t="s">
        <v>3914</v>
      </c>
      <c r="D1903" t="str">
        <f t="shared" si="31"/>
        <v>KI7508774311,</v>
      </c>
    </row>
    <row r="1904" spans="3:4">
      <c r="C1904" t="s">
        <v>3915</v>
      </c>
      <c r="D1904" t="str">
        <f t="shared" si="31"/>
        <v>KI7508802203,</v>
      </c>
    </row>
    <row r="1905" spans="3:4">
      <c r="C1905" t="s">
        <v>3916</v>
      </c>
      <c r="D1905" t="str">
        <f t="shared" si="31"/>
        <v>KI7508803787,</v>
      </c>
    </row>
    <row r="1906" spans="3:4">
      <c r="C1906" t="s">
        <v>3917</v>
      </c>
      <c r="D1906" t="str">
        <f t="shared" si="31"/>
        <v>KI7508811555,</v>
      </c>
    </row>
    <row r="1907" spans="3:4">
      <c r="C1907" t="s">
        <v>3918</v>
      </c>
      <c r="D1907" t="str">
        <f t="shared" si="31"/>
        <v>KI7508813260,</v>
      </c>
    </row>
    <row r="1908" spans="3:4">
      <c r="C1908" t="s">
        <v>3919</v>
      </c>
      <c r="D1908" t="str">
        <f t="shared" si="31"/>
        <v>KI7508813439,</v>
      </c>
    </row>
    <row r="1909" spans="3:4">
      <c r="C1909" t="s">
        <v>3920</v>
      </c>
      <c r="D1909" t="str">
        <f t="shared" si="31"/>
        <v>KI7508819823,</v>
      </c>
    </row>
    <row r="1910" spans="3:4">
      <c r="C1910" t="s">
        <v>3921</v>
      </c>
      <c r="D1910" t="str">
        <f t="shared" si="31"/>
        <v>KI7508821033,</v>
      </c>
    </row>
    <row r="1911" spans="3:4">
      <c r="C1911" t="s">
        <v>3922</v>
      </c>
      <c r="D1911" t="str">
        <f t="shared" si="31"/>
        <v>KI7508824644,</v>
      </c>
    </row>
    <row r="1912" spans="3:4">
      <c r="C1912" t="s">
        <v>3923</v>
      </c>
      <c r="D1912" t="str">
        <f t="shared" si="31"/>
        <v>KI7508824763,</v>
      </c>
    </row>
    <row r="1913" spans="3:4">
      <c r="C1913" t="s">
        <v>3924</v>
      </c>
      <c r="D1913" t="str">
        <f t="shared" si="31"/>
        <v>KI7508830565,</v>
      </c>
    </row>
    <row r="1914" spans="3:4">
      <c r="C1914" t="s">
        <v>3925</v>
      </c>
      <c r="D1914" t="str">
        <f t="shared" si="31"/>
        <v>KI7508837172,</v>
      </c>
    </row>
    <row r="1915" spans="3:4">
      <c r="C1915" t="s">
        <v>3926</v>
      </c>
      <c r="D1915" t="str">
        <f t="shared" si="31"/>
        <v>KI7508839816,</v>
      </c>
    </row>
    <row r="1916" spans="3:4">
      <c r="C1916" t="s">
        <v>3927</v>
      </c>
      <c r="D1916" t="str">
        <f t="shared" si="31"/>
        <v>KI7508841183,</v>
      </c>
    </row>
    <row r="1917" spans="3:4">
      <c r="C1917" t="s">
        <v>3928</v>
      </c>
      <c r="D1917" t="str">
        <f t="shared" si="31"/>
        <v>KI7508846051,</v>
      </c>
    </row>
    <row r="1918" spans="3:4">
      <c r="C1918" t="s">
        <v>3929</v>
      </c>
      <c r="D1918" t="str">
        <f t="shared" si="31"/>
        <v>KI7508863967,</v>
      </c>
    </row>
    <row r="1919" spans="3:4">
      <c r="C1919" t="s">
        <v>3930</v>
      </c>
      <c r="D1919" t="str">
        <f t="shared" si="31"/>
        <v>KI7508869874,</v>
      </c>
    </row>
    <row r="1920" spans="3:4">
      <c r="C1920" t="s">
        <v>3931</v>
      </c>
      <c r="D1920" t="str">
        <f t="shared" si="31"/>
        <v>KI7508870147,</v>
      </c>
    </row>
    <row r="1921" spans="3:4">
      <c r="C1921" t="s">
        <v>3932</v>
      </c>
      <c r="D1921" t="str">
        <f t="shared" si="31"/>
        <v>KI7508870530,</v>
      </c>
    </row>
    <row r="1922" spans="3:4">
      <c r="C1922" t="s">
        <v>3933</v>
      </c>
      <c r="D1922" t="str">
        <f t="shared" si="31"/>
        <v>KI7508871074,</v>
      </c>
    </row>
    <row r="1923" spans="3:4">
      <c r="C1923" t="s">
        <v>3934</v>
      </c>
      <c r="D1923" t="str">
        <f t="shared" si="31"/>
        <v>KI7508878214,</v>
      </c>
    </row>
    <row r="1924" spans="3:4">
      <c r="C1924" t="s">
        <v>3935</v>
      </c>
      <c r="D1924" t="str">
        <f t="shared" si="31"/>
        <v>KI7508878757,</v>
      </c>
    </row>
    <row r="1925" spans="3:4">
      <c r="C1925" t="s">
        <v>3936</v>
      </c>
      <c r="D1925" t="str">
        <f t="shared" si="31"/>
        <v>KI7508882223,</v>
      </c>
    </row>
    <row r="1926" spans="3:4">
      <c r="C1926" t="s">
        <v>3937</v>
      </c>
      <c r="D1926" t="str">
        <f t="shared" si="31"/>
        <v>KI7508886749,</v>
      </c>
    </row>
    <row r="1927" spans="3:4">
      <c r="C1927" t="s">
        <v>3938</v>
      </c>
      <c r="D1927" t="str">
        <f t="shared" si="31"/>
        <v>KI7508901007,</v>
      </c>
    </row>
    <row r="1928" spans="3:4">
      <c r="C1928" t="s">
        <v>3939</v>
      </c>
      <c r="D1928" t="str">
        <f t="shared" si="31"/>
        <v>KI7508909159,</v>
      </c>
    </row>
    <row r="1929" spans="3:4">
      <c r="C1929" t="s">
        <v>3940</v>
      </c>
      <c r="D1929" t="str">
        <f t="shared" si="31"/>
        <v>KI7508911598,</v>
      </c>
    </row>
    <row r="1930" spans="3:4">
      <c r="C1930" t="s">
        <v>3941</v>
      </c>
      <c r="D1930" t="str">
        <f t="shared" si="31"/>
        <v>KI7508917546,</v>
      </c>
    </row>
    <row r="1931" spans="3:4">
      <c r="C1931" t="s">
        <v>3942</v>
      </c>
      <c r="D1931" t="str">
        <f t="shared" si="31"/>
        <v>KI7508919493,</v>
      </c>
    </row>
    <row r="1932" spans="3:4">
      <c r="C1932" t="s">
        <v>2250</v>
      </c>
      <c r="D1932" t="str">
        <f t="shared" si="31"/>
        <v>KI7508923495,</v>
      </c>
    </row>
    <row r="1933" spans="3:4">
      <c r="C1933" t="s">
        <v>3943</v>
      </c>
      <c r="D1933" t="str">
        <f t="shared" si="31"/>
        <v>KI7508923991,</v>
      </c>
    </row>
    <row r="1934" spans="3:4">
      <c r="C1934" t="s">
        <v>3944</v>
      </c>
      <c r="D1934" t="str">
        <f t="shared" si="31"/>
        <v>KI7508925095,</v>
      </c>
    </row>
    <row r="1935" spans="3:4">
      <c r="C1935" t="s">
        <v>3945</v>
      </c>
      <c r="D1935" t="str">
        <f t="shared" si="31"/>
        <v>KI7508928431,</v>
      </c>
    </row>
    <row r="1936" spans="3:4">
      <c r="C1936" t="s">
        <v>3946</v>
      </c>
      <c r="D1936" t="str">
        <f t="shared" si="31"/>
        <v>KI7508933546,</v>
      </c>
    </row>
    <row r="1937" spans="3:4">
      <c r="C1937" t="s">
        <v>3947</v>
      </c>
      <c r="D1937" t="str">
        <f t="shared" si="31"/>
        <v>KI7508933986,</v>
      </c>
    </row>
    <row r="1938" spans="3:4">
      <c r="C1938" t="s">
        <v>3948</v>
      </c>
      <c r="D1938" t="str">
        <f t="shared" si="31"/>
        <v>KI7508935468,</v>
      </c>
    </row>
    <row r="1939" spans="3:4">
      <c r="C1939" t="s">
        <v>3949</v>
      </c>
      <c r="D1939" t="str">
        <f t="shared" si="31"/>
        <v>KI7508936693,</v>
      </c>
    </row>
    <row r="1940" spans="3:4">
      <c r="C1940" t="s">
        <v>3950</v>
      </c>
      <c r="D1940" t="str">
        <f t="shared" si="31"/>
        <v>KI7508936706,</v>
      </c>
    </row>
    <row r="1941" spans="3:4">
      <c r="C1941" t="s">
        <v>3951</v>
      </c>
      <c r="D1941" t="str">
        <f t="shared" si="31"/>
        <v>KI7508942595,</v>
      </c>
    </row>
    <row r="1942" spans="3:4">
      <c r="C1942" t="s">
        <v>3952</v>
      </c>
      <c r="D1942" t="str">
        <f t="shared" si="31"/>
        <v>KI7508942723,</v>
      </c>
    </row>
    <row r="1943" spans="3:4">
      <c r="C1943" t="s">
        <v>3953</v>
      </c>
      <c r="D1943" t="str">
        <f t="shared" si="31"/>
        <v>KI7508943863,</v>
      </c>
    </row>
    <row r="1944" spans="3:4">
      <c r="C1944" t="s">
        <v>3954</v>
      </c>
      <c r="D1944" t="str">
        <f t="shared" si="31"/>
        <v>KI7508945504,</v>
      </c>
    </row>
    <row r="1945" spans="3:4">
      <c r="C1945" t="s">
        <v>3955</v>
      </c>
      <c r="D1945" t="str">
        <f t="shared" si="31"/>
        <v>KI7508947132,</v>
      </c>
    </row>
    <row r="1946" spans="3:4">
      <c r="C1946" t="s">
        <v>3956</v>
      </c>
      <c r="D1946" t="str">
        <f t="shared" si="31"/>
        <v>KI7508947353,</v>
      </c>
    </row>
    <row r="1947" spans="3:4">
      <c r="C1947" t="s">
        <v>3957</v>
      </c>
      <c r="D1947" t="str">
        <f t="shared" si="31"/>
        <v>KI7508947421,</v>
      </c>
    </row>
    <row r="1948" spans="3:4">
      <c r="C1948" t="s">
        <v>3958</v>
      </c>
      <c r="D1948" t="str">
        <f t="shared" si="31"/>
        <v>KI7508948827,</v>
      </c>
    </row>
    <row r="1949" spans="3:4">
      <c r="C1949" t="s">
        <v>3959</v>
      </c>
      <c r="D1949" t="str">
        <f t="shared" si="31"/>
        <v>KI7508949301,</v>
      </c>
    </row>
    <row r="1950" spans="3:4">
      <c r="C1950" t="s">
        <v>3960</v>
      </c>
      <c r="D1950" t="str">
        <f t="shared" si="31"/>
        <v>KI7508952773,</v>
      </c>
    </row>
    <row r="1951" spans="3:4">
      <c r="C1951" t="s">
        <v>3961</v>
      </c>
      <c r="D1951" t="str">
        <f t="shared" ref="D1951:D2014" si="32">""&amp;C1951&amp;","</f>
        <v>KI7508958456,</v>
      </c>
    </row>
    <row r="1952" spans="3:4">
      <c r="C1952" t="s">
        <v>3962</v>
      </c>
      <c r="D1952" t="str">
        <f t="shared" si="32"/>
        <v>KI7508960030,</v>
      </c>
    </row>
    <row r="1953" spans="3:4">
      <c r="C1953" t="s">
        <v>3963</v>
      </c>
      <c r="D1953" t="str">
        <f t="shared" si="32"/>
        <v>KI7508960411,</v>
      </c>
    </row>
    <row r="1954" spans="3:4">
      <c r="C1954" t="s">
        <v>3964</v>
      </c>
      <c r="D1954" t="str">
        <f t="shared" si="32"/>
        <v>KI7508966549,</v>
      </c>
    </row>
    <row r="1955" spans="3:4">
      <c r="C1955" t="s">
        <v>3965</v>
      </c>
      <c r="D1955" t="str">
        <f t="shared" si="32"/>
        <v>KI7508977181,</v>
      </c>
    </row>
    <row r="1956" spans="3:4">
      <c r="C1956" t="s">
        <v>3966</v>
      </c>
      <c r="D1956" t="str">
        <f t="shared" si="32"/>
        <v>KI7508979769,</v>
      </c>
    </row>
    <row r="1957" spans="3:4">
      <c r="C1957" t="s">
        <v>3967</v>
      </c>
      <c r="D1957" t="str">
        <f t="shared" si="32"/>
        <v>KI7509761504,</v>
      </c>
    </row>
    <row r="1958" spans="3:4">
      <c r="C1958" t="s">
        <v>3968</v>
      </c>
      <c r="D1958" t="str">
        <f t="shared" si="32"/>
        <v>KI9011033234,</v>
      </c>
    </row>
    <row r="1959" spans="3:4">
      <c r="C1959" t="s">
        <v>3969</v>
      </c>
      <c r="D1959" t="str">
        <f t="shared" si="32"/>
        <v>KI9011033235,</v>
      </c>
    </row>
    <row r="1960" spans="3:4">
      <c r="C1960" t="s">
        <v>3970</v>
      </c>
      <c r="D1960" t="str">
        <f t="shared" si="32"/>
        <v>KI9011925965,</v>
      </c>
    </row>
    <row r="1961" spans="3:4">
      <c r="C1961" t="s">
        <v>1631</v>
      </c>
      <c r="D1961" t="str">
        <f t="shared" si="32"/>
        <v>KI9012002391,</v>
      </c>
    </row>
    <row r="1962" spans="3:4">
      <c r="C1962" t="s">
        <v>3971</v>
      </c>
      <c r="D1962" t="str">
        <f t="shared" si="32"/>
        <v>KI9012054947,</v>
      </c>
    </row>
    <row r="1963" spans="3:4">
      <c r="C1963" t="s">
        <v>3972</v>
      </c>
      <c r="D1963" t="str">
        <f t="shared" si="32"/>
        <v>KI9012058667,</v>
      </c>
    </row>
    <row r="1964" spans="3:4">
      <c r="C1964" t="s">
        <v>3973</v>
      </c>
      <c r="D1964" t="str">
        <f t="shared" si="32"/>
        <v>KI9012059808,</v>
      </c>
    </row>
    <row r="1965" spans="3:4">
      <c r="C1965" t="s">
        <v>3974</v>
      </c>
      <c r="D1965" t="str">
        <f t="shared" si="32"/>
        <v>KI9012061821,</v>
      </c>
    </row>
    <row r="1966" spans="3:4">
      <c r="C1966" t="s">
        <v>3975</v>
      </c>
      <c r="D1966" t="str">
        <f t="shared" si="32"/>
        <v>KI9012069791,</v>
      </c>
    </row>
    <row r="1967" spans="3:4">
      <c r="C1967" t="s">
        <v>1679</v>
      </c>
      <c r="D1967" t="str">
        <f t="shared" si="32"/>
        <v>KI9012180024,</v>
      </c>
    </row>
    <row r="1968" spans="3:4">
      <c r="C1968" t="s">
        <v>3976</v>
      </c>
      <c r="D1968" t="str">
        <f t="shared" si="32"/>
        <v>KI9012184181,</v>
      </c>
    </row>
    <row r="1969" spans="3:4">
      <c r="C1969" t="s">
        <v>1839</v>
      </c>
      <c r="D1969" t="str">
        <f t="shared" si="32"/>
        <v>KI9012199118,</v>
      </c>
    </row>
    <row r="1970" spans="3:4">
      <c r="C1970" t="s">
        <v>3977</v>
      </c>
      <c r="D1970" t="str">
        <f t="shared" si="32"/>
        <v>KL7513698708,</v>
      </c>
    </row>
    <row r="1971" spans="3:4">
      <c r="C1971" t="s">
        <v>3978</v>
      </c>
      <c r="D1971" t="str">
        <f t="shared" si="32"/>
        <v>KL7513698959,</v>
      </c>
    </row>
    <row r="1972" spans="3:4">
      <c r="C1972" t="s">
        <v>3979</v>
      </c>
      <c r="D1972" t="str">
        <f t="shared" si="32"/>
        <v>KP7514170668,</v>
      </c>
    </row>
    <row r="1973" spans="3:4">
      <c r="C1973" t="s">
        <v>3980</v>
      </c>
      <c r="D1973" t="str">
        <f t="shared" si="32"/>
        <v>KS7514343193,</v>
      </c>
    </row>
    <row r="1974" spans="3:4">
      <c r="C1974" t="s">
        <v>3981</v>
      </c>
      <c r="D1974" t="str">
        <f t="shared" si="32"/>
        <v>LE0060899305,</v>
      </c>
    </row>
    <row r="1975" spans="3:4">
      <c r="C1975" t="s">
        <v>3982</v>
      </c>
      <c r="D1975" t="str">
        <f t="shared" si="32"/>
        <v>LE7501240659,</v>
      </c>
    </row>
    <row r="1976" spans="3:4">
      <c r="C1976" t="s">
        <v>3983</v>
      </c>
      <c r="D1976" t="str">
        <f t="shared" si="32"/>
        <v>LE7508405357,</v>
      </c>
    </row>
    <row r="1977" spans="3:4">
      <c r="C1977" t="s">
        <v>3984</v>
      </c>
      <c r="D1977" t="str">
        <f t="shared" si="32"/>
        <v>LE7508409030,</v>
      </c>
    </row>
    <row r="1978" spans="3:4">
      <c r="C1978" t="s">
        <v>3985</v>
      </c>
      <c r="D1978" t="str">
        <f t="shared" si="32"/>
        <v>LE7508418396,</v>
      </c>
    </row>
    <row r="1979" spans="3:4">
      <c r="C1979" t="s">
        <v>1465</v>
      </c>
      <c r="D1979" t="str">
        <f t="shared" si="32"/>
        <v>LE7508422886,</v>
      </c>
    </row>
    <row r="1980" spans="3:4">
      <c r="C1980" t="s">
        <v>3986</v>
      </c>
      <c r="D1980" t="str">
        <f t="shared" si="32"/>
        <v>LE7508467423,</v>
      </c>
    </row>
    <row r="1981" spans="3:4">
      <c r="C1981" t="s">
        <v>3987</v>
      </c>
      <c r="D1981" t="str">
        <f t="shared" si="32"/>
        <v>LE7508471079,</v>
      </c>
    </row>
    <row r="1982" spans="3:4">
      <c r="C1982" t="s">
        <v>3988</v>
      </c>
      <c r="D1982" t="str">
        <f t="shared" si="32"/>
        <v>LE7508498979,</v>
      </c>
    </row>
    <row r="1983" spans="3:4">
      <c r="C1983" t="s">
        <v>3989</v>
      </c>
      <c r="D1983" t="str">
        <f t="shared" si="32"/>
        <v>LE7508503537,</v>
      </c>
    </row>
    <row r="1984" spans="3:4">
      <c r="C1984" t="s">
        <v>3990</v>
      </c>
      <c r="D1984" t="str">
        <f t="shared" si="32"/>
        <v>LE7508508031,</v>
      </c>
    </row>
    <row r="1985" spans="3:4">
      <c r="C1985" t="s">
        <v>3991</v>
      </c>
      <c r="D1985" t="str">
        <f t="shared" si="32"/>
        <v>LE7508511356,</v>
      </c>
    </row>
    <row r="1986" spans="3:4">
      <c r="C1986" t="s">
        <v>3992</v>
      </c>
      <c r="D1986" t="str">
        <f t="shared" si="32"/>
        <v>LE7508518543,</v>
      </c>
    </row>
    <row r="1987" spans="3:4">
      <c r="C1987" t="s">
        <v>3993</v>
      </c>
      <c r="D1987" t="str">
        <f t="shared" si="32"/>
        <v>LE7508524131,</v>
      </c>
    </row>
    <row r="1988" spans="3:4">
      <c r="C1988" t="s">
        <v>2215</v>
      </c>
      <c r="D1988" t="str">
        <f t="shared" si="32"/>
        <v>LE7508524999,</v>
      </c>
    </row>
    <row r="1989" spans="3:4">
      <c r="C1989" t="s">
        <v>3994</v>
      </c>
      <c r="D1989" t="str">
        <f t="shared" si="32"/>
        <v>LE7508532057,</v>
      </c>
    </row>
    <row r="1990" spans="3:4">
      <c r="C1990" t="s">
        <v>3995</v>
      </c>
      <c r="D1990" t="str">
        <f t="shared" si="32"/>
        <v>LE7510099053,</v>
      </c>
    </row>
    <row r="1991" spans="3:4">
      <c r="C1991" t="s">
        <v>3996</v>
      </c>
      <c r="D1991" t="str">
        <f t="shared" si="32"/>
        <v>LE7510100626,</v>
      </c>
    </row>
    <row r="1992" spans="3:4">
      <c r="C1992" t="s">
        <v>3997</v>
      </c>
      <c r="D1992" t="str">
        <f t="shared" si="32"/>
        <v>LE7510101954,</v>
      </c>
    </row>
    <row r="1993" spans="3:4">
      <c r="C1993" t="s">
        <v>3998</v>
      </c>
      <c r="D1993" t="str">
        <f t="shared" si="32"/>
        <v>LE7510104161,</v>
      </c>
    </row>
    <row r="1994" spans="3:4">
      <c r="C1994" t="s">
        <v>3999</v>
      </c>
      <c r="D1994" t="str">
        <f t="shared" si="32"/>
        <v>LE7510107707,</v>
      </c>
    </row>
    <row r="1995" spans="3:4">
      <c r="C1995" t="s">
        <v>4000</v>
      </c>
      <c r="D1995" t="str">
        <f t="shared" si="32"/>
        <v>LE7510107842,</v>
      </c>
    </row>
    <row r="1996" spans="3:4">
      <c r="C1996" t="s">
        <v>4001</v>
      </c>
      <c r="D1996" t="str">
        <f t="shared" si="32"/>
        <v>LE7510108215,</v>
      </c>
    </row>
    <row r="1997" spans="3:4">
      <c r="C1997" t="s">
        <v>4002</v>
      </c>
      <c r="D1997" t="str">
        <f t="shared" si="32"/>
        <v>LE7510108959,</v>
      </c>
    </row>
    <row r="1998" spans="3:4">
      <c r="C1998" t="s">
        <v>4003</v>
      </c>
      <c r="D1998" t="str">
        <f t="shared" si="32"/>
        <v>LE7510110197,</v>
      </c>
    </row>
    <row r="1999" spans="3:4">
      <c r="C1999" t="s">
        <v>4004</v>
      </c>
      <c r="D1999" t="str">
        <f t="shared" si="32"/>
        <v>LE7510116132,</v>
      </c>
    </row>
    <row r="2000" spans="3:4">
      <c r="C2000" t="s">
        <v>4005</v>
      </c>
      <c r="D2000" t="str">
        <f t="shared" si="32"/>
        <v>LE7510118811,</v>
      </c>
    </row>
    <row r="2001" spans="3:4">
      <c r="C2001" t="s">
        <v>4006</v>
      </c>
      <c r="D2001" t="str">
        <f t="shared" si="32"/>
        <v>LE7510125879,</v>
      </c>
    </row>
    <row r="2002" spans="3:4">
      <c r="C2002" t="s">
        <v>4007</v>
      </c>
      <c r="D2002" t="str">
        <f t="shared" si="32"/>
        <v>LE7510126214,</v>
      </c>
    </row>
    <row r="2003" spans="3:4">
      <c r="C2003" t="s">
        <v>4008</v>
      </c>
      <c r="D2003" t="str">
        <f t="shared" si="32"/>
        <v>LE7510130882,</v>
      </c>
    </row>
    <row r="2004" spans="3:4">
      <c r="C2004" t="s">
        <v>4009</v>
      </c>
      <c r="D2004" t="str">
        <f t="shared" si="32"/>
        <v>LE7510131096,</v>
      </c>
    </row>
    <row r="2005" spans="3:4">
      <c r="C2005" t="s">
        <v>4010</v>
      </c>
      <c r="D2005" t="str">
        <f t="shared" si="32"/>
        <v>LE7510131584,</v>
      </c>
    </row>
    <row r="2006" spans="3:4">
      <c r="C2006" t="s">
        <v>4011</v>
      </c>
      <c r="D2006" t="str">
        <f t="shared" si="32"/>
        <v>LE7510134168,</v>
      </c>
    </row>
    <row r="2007" spans="3:4">
      <c r="C2007" t="s">
        <v>4012</v>
      </c>
      <c r="D2007" t="str">
        <f t="shared" si="32"/>
        <v>LE7510134449,</v>
      </c>
    </row>
    <row r="2008" spans="3:4">
      <c r="C2008" t="s">
        <v>4013</v>
      </c>
      <c r="D2008" t="str">
        <f t="shared" si="32"/>
        <v>LE7510135953,</v>
      </c>
    </row>
    <row r="2009" spans="3:4">
      <c r="C2009" t="s">
        <v>4014</v>
      </c>
      <c r="D2009" t="str">
        <f t="shared" si="32"/>
        <v>LE7510148983,</v>
      </c>
    </row>
    <row r="2010" spans="3:4">
      <c r="C2010" t="s">
        <v>4015</v>
      </c>
      <c r="D2010" t="str">
        <f t="shared" si="32"/>
        <v>LE7510152911,</v>
      </c>
    </row>
    <row r="2011" spans="3:4">
      <c r="C2011" t="s">
        <v>4016</v>
      </c>
      <c r="D2011" t="str">
        <f t="shared" si="32"/>
        <v>LE7510154499,</v>
      </c>
    </row>
    <row r="2012" spans="3:4">
      <c r="C2012" t="s">
        <v>4017</v>
      </c>
      <c r="D2012" t="str">
        <f t="shared" si="32"/>
        <v>LE7510156197,</v>
      </c>
    </row>
    <row r="2013" spans="3:4">
      <c r="C2013" t="s">
        <v>4018</v>
      </c>
      <c r="D2013" t="str">
        <f t="shared" si="32"/>
        <v>LE7510157131,</v>
      </c>
    </row>
    <row r="2014" spans="3:4">
      <c r="C2014" t="s">
        <v>4019</v>
      </c>
      <c r="D2014" t="str">
        <f t="shared" si="32"/>
        <v>LE7510157943,</v>
      </c>
    </row>
    <row r="2015" spans="3:4">
      <c r="C2015" t="s">
        <v>4020</v>
      </c>
      <c r="D2015" t="str">
        <f t="shared" ref="D2015:D2078" si="33">""&amp;C2015&amp;","</f>
        <v>LE7510160663,</v>
      </c>
    </row>
    <row r="2016" spans="3:4">
      <c r="C2016" t="s">
        <v>4021</v>
      </c>
      <c r="D2016" t="str">
        <f t="shared" si="33"/>
        <v>LE7510164232,</v>
      </c>
    </row>
    <row r="2017" spans="3:4">
      <c r="C2017" t="s">
        <v>4022</v>
      </c>
      <c r="D2017" t="str">
        <f t="shared" si="33"/>
        <v>LE7510165512,</v>
      </c>
    </row>
    <row r="2018" spans="3:4">
      <c r="C2018" t="s">
        <v>2251</v>
      </c>
      <c r="D2018" t="str">
        <f t="shared" si="33"/>
        <v>LE7510166870,</v>
      </c>
    </row>
    <row r="2019" spans="3:4">
      <c r="C2019" t="s">
        <v>4023</v>
      </c>
      <c r="D2019" t="str">
        <f t="shared" si="33"/>
        <v>LE7510166933,</v>
      </c>
    </row>
    <row r="2020" spans="3:4">
      <c r="C2020" t="s">
        <v>4024</v>
      </c>
      <c r="D2020" t="str">
        <f t="shared" si="33"/>
        <v>LE7510167671,</v>
      </c>
    </row>
    <row r="2021" spans="3:4">
      <c r="C2021" t="s">
        <v>2244</v>
      </c>
      <c r="D2021" t="str">
        <f t="shared" si="33"/>
        <v>LE7510168420,</v>
      </c>
    </row>
    <row r="2022" spans="3:4">
      <c r="C2022" t="s">
        <v>4025</v>
      </c>
      <c r="D2022" t="str">
        <f t="shared" si="33"/>
        <v>LE9012022110,</v>
      </c>
    </row>
    <row r="2023" spans="3:4">
      <c r="C2023" t="s">
        <v>4026</v>
      </c>
      <c r="D2023" t="str">
        <f t="shared" si="33"/>
        <v>LE9012041839,</v>
      </c>
    </row>
    <row r="2024" spans="3:4">
      <c r="C2024" t="s">
        <v>4027</v>
      </c>
      <c r="D2024" t="str">
        <f t="shared" si="33"/>
        <v>LE9012056376,</v>
      </c>
    </row>
    <row r="2025" spans="3:4">
      <c r="C2025" t="s">
        <v>4028</v>
      </c>
      <c r="D2025" t="str">
        <f t="shared" si="33"/>
        <v>LE9012056650,</v>
      </c>
    </row>
    <row r="2026" spans="3:4">
      <c r="C2026" t="s">
        <v>4029</v>
      </c>
      <c r="D2026" t="str">
        <f t="shared" si="33"/>
        <v>LE9012059124,</v>
      </c>
    </row>
    <row r="2027" spans="3:4">
      <c r="C2027" t="s">
        <v>4030</v>
      </c>
      <c r="D2027" t="str">
        <f t="shared" si="33"/>
        <v>LE9012059370,</v>
      </c>
    </row>
    <row r="2028" spans="3:4">
      <c r="C2028" t="s">
        <v>4031</v>
      </c>
      <c r="D2028" t="str">
        <f t="shared" si="33"/>
        <v>LE9012060387,</v>
      </c>
    </row>
    <row r="2029" spans="3:4">
      <c r="C2029" t="s">
        <v>4032</v>
      </c>
      <c r="D2029" t="str">
        <f t="shared" si="33"/>
        <v>LE9012061812,</v>
      </c>
    </row>
    <row r="2030" spans="3:4">
      <c r="C2030" t="s">
        <v>4033</v>
      </c>
      <c r="D2030" t="str">
        <f t="shared" si="33"/>
        <v>LE9012080212,</v>
      </c>
    </row>
    <row r="2031" spans="3:4">
      <c r="C2031" t="s">
        <v>4034</v>
      </c>
      <c r="D2031" t="str">
        <f t="shared" si="33"/>
        <v>LE9012080587,</v>
      </c>
    </row>
    <row r="2032" spans="3:4">
      <c r="C2032" t="s">
        <v>4035</v>
      </c>
      <c r="D2032" t="str">
        <f t="shared" si="33"/>
        <v>LE9012084450,</v>
      </c>
    </row>
    <row r="2033" spans="3:4">
      <c r="C2033" t="s">
        <v>4036</v>
      </c>
      <c r="D2033" t="str">
        <f t="shared" si="33"/>
        <v>LO7504252948,</v>
      </c>
    </row>
    <row r="2034" spans="3:4">
      <c r="C2034" t="s">
        <v>4037</v>
      </c>
      <c r="D2034" t="str">
        <f t="shared" si="33"/>
        <v>MG7514817185,</v>
      </c>
    </row>
    <row r="2035" spans="3:4">
      <c r="C2035" t="s">
        <v>4038</v>
      </c>
      <c r="D2035" t="str">
        <f t="shared" si="33"/>
        <v>ML7507574857,</v>
      </c>
    </row>
    <row r="2036" spans="3:4">
      <c r="C2036" t="s">
        <v>4039</v>
      </c>
      <c r="D2036" t="str">
        <f t="shared" si="33"/>
        <v>MM7505088806,</v>
      </c>
    </row>
    <row r="2037" spans="3:4">
      <c r="C2037" t="s">
        <v>4040</v>
      </c>
      <c r="D2037" t="str">
        <f t="shared" si="33"/>
        <v>MM7505089062,</v>
      </c>
    </row>
    <row r="2038" spans="3:4">
      <c r="C2038" t="s">
        <v>4041</v>
      </c>
      <c r="D2038" t="str">
        <f t="shared" si="33"/>
        <v>MM7505089206,</v>
      </c>
    </row>
    <row r="2039" spans="3:4">
      <c r="C2039" t="s">
        <v>4042</v>
      </c>
      <c r="D2039" t="str">
        <f t="shared" si="33"/>
        <v>MM9011785147,</v>
      </c>
    </row>
    <row r="2040" spans="3:4">
      <c r="C2040" t="s">
        <v>4043</v>
      </c>
      <c r="D2040" t="str">
        <f t="shared" si="33"/>
        <v>MM9011788738,</v>
      </c>
    </row>
    <row r="2041" spans="3:4">
      <c r="C2041" t="s">
        <v>4044</v>
      </c>
      <c r="D2041" t="str">
        <f t="shared" si="33"/>
        <v>MM9011806467,</v>
      </c>
    </row>
    <row r="2042" spans="3:4">
      <c r="C2042" t="s">
        <v>4045</v>
      </c>
      <c r="D2042" t="str">
        <f t="shared" si="33"/>
        <v>MN7513081880,</v>
      </c>
    </row>
    <row r="2043" spans="3:4">
      <c r="C2043" t="s">
        <v>4046</v>
      </c>
      <c r="D2043" t="str">
        <f t="shared" si="33"/>
        <v>MN7513082870,</v>
      </c>
    </row>
    <row r="2044" spans="3:4">
      <c r="C2044" t="s">
        <v>4047</v>
      </c>
      <c r="D2044" t="str">
        <f t="shared" si="33"/>
        <v>MN7513083040,</v>
      </c>
    </row>
    <row r="2045" spans="3:4">
      <c r="C2045" t="s">
        <v>4048</v>
      </c>
      <c r="D2045" t="str">
        <f t="shared" si="33"/>
        <v>MN7513083475,</v>
      </c>
    </row>
    <row r="2046" spans="3:4">
      <c r="C2046" t="s">
        <v>4049</v>
      </c>
      <c r="D2046" t="str">
        <f t="shared" si="33"/>
        <v>MN7513086288,</v>
      </c>
    </row>
    <row r="2047" spans="3:4">
      <c r="C2047" t="s">
        <v>4050</v>
      </c>
      <c r="D2047" t="str">
        <f t="shared" si="33"/>
        <v>MN7513086808,</v>
      </c>
    </row>
    <row r="2048" spans="3:4">
      <c r="C2048" t="s">
        <v>4051</v>
      </c>
      <c r="D2048" t="str">
        <f t="shared" si="33"/>
        <v>MN7513089817,</v>
      </c>
    </row>
    <row r="2049" spans="3:4">
      <c r="C2049" t="s">
        <v>4052</v>
      </c>
      <c r="D2049" t="str">
        <f t="shared" si="33"/>
        <v>MN7513091660,</v>
      </c>
    </row>
    <row r="2050" spans="3:4">
      <c r="C2050" t="s">
        <v>4053</v>
      </c>
      <c r="D2050" t="str">
        <f t="shared" si="33"/>
        <v>MN7513091820,</v>
      </c>
    </row>
    <row r="2051" spans="3:4">
      <c r="C2051" t="s">
        <v>4054</v>
      </c>
      <c r="D2051" t="str">
        <f t="shared" si="33"/>
        <v>MN7513092557,</v>
      </c>
    </row>
    <row r="2052" spans="3:4">
      <c r="C2052" t="s">
        <v>4055</v>
      </c>
      <c r="D2052" t="str">
        <f t="shared" si="33"/>
        <v>MN7513092631,</v>
      </c>
    </row>
    <row r="2053" spans="3:4">
      <c r="C2053" t="s">
        <v>4056</v>
      </c>
      <c r="D2053" t="str">
        <f t="shared" si="33"/>
        <v>MN7513092642,</v>
      </c>
    </row>
    <row r="2054" spans="3:4">
      <c r="C2054" t="s">
        <v>4057</v>
      </c>
      <c r="D2054" t="str">
        <f t="shared" si="33"/>
        <v>MX7512745847,</v>
      </c>
    </row>
    <row r="2055" spans="3:4">
      <c r="C2055" t="s">
        <v>4058</v>
      </c>
      <c r="D2055" t="str">
        <f t="shared" si="33"/>
        <v>MX7512751665,</v>
      </c>
    </row>
    <row r="2056" spans="3:4">
      <c r="C2056" t="s">
        <v>4059</v>
      </c>
      <c r="D2056" t="str">
        <f t="shared" si="33"/>
        <v>MX7512761205,</v>
      </c>
    </row>
    <row r="2057" spans="3:4">
      <c r="C2057" t="s">
        <v>4060</v>
      </c>
      <c r="D2057" t="str">
        <f t="shared" si="33"/>
        <v>MX7512762238,</v>
      </c>
    </row>
    <row r="2058" spans="3:4">
      <c r="C2058" t="s">
        <v>4061</v>
      </c>
      <c r="D2058" t="str">
        <f t="shared" si="33"/>
        <v>MX7512764781,</v>
      </c>
    </row>
    <row r="2059" spans="3:4">
      <c r="C2059" t="s">
        <v>4062</v>
      </c>
      <c r="D2059" t="str">
        <f t="shared" si="33"/>
        <v>MX7512765291,</v>
      </c>
    </row>
    <row r="2060" spans="3:4">
      <c r="C2060" t="s">
        <v>4063</v>
      </c>
      <c r="D2060" t="str">
        <f t="shared" si="33"/>
        <v>MX7512765541,</v>
      </c>
    </row>
    <row r="2061" spans="3:4">
      <c r="C2061" t="s">
        <v>4064</v>
      </c>
      <c r="D2061" t="str">
        <f t="shared" si="33"/>
        <v>MX7512765789,</v>
      </c>
    </row>
    <row r="2062" spans="3:4">
      <c r="C2062" t="s">
        <v>4065</v>
      </c>
      <c r="D2062" t="str">
        <f t="shared" si="33"/>
        <v>MX7512765993,</v>
      </c>
    </row>
    <row r="2063" spans="3:4">
      <c r="C2063" t="s">
        <v>4066</v>
      </c>
      <c r="D2063" t="str">
        <f t="shared" si="33"/>
        <v>MX7512767792,</v>
      </c>
    </row>
    <row r="2064" spans="3:4">
      <c r="C2064" t="s">
        <v>4067</v>
      </c>
      <c r="D2064" t="str">
        <f t="shared" si="33"/>
        <v>MX7512768709,</v>
      </c>
    </row>
    <row r="2065" spans="3:4">
      <c r="C2065" t="s">
        <v>4068</v>
      </c>
      <c r="D2065" t="str">
        <f t="shared" si="33"/>
        <v>MX7512768835,</v>
      </c>
    </row>
    <row r="2066" spans="3:4">
      <c r="C2066" t="s">
        <v>4069</v>
      </c>
      <c r="D2066" t="str">
        <f t="shared" si="33"/>
        <v>MX7512768921,</v>
      </c>
    </row>
    <row r="2067" spans="3:4">
      <c r="C2067" t="s">
        <v>4070</v>
      </c>
      <c r="D2067" t="str">
        <f t="shared" si="33"/>
        <v>MX9012072279,</v>
      </c>
    </row>
    <row r="2068" spans="3:4">
      <c r="C2068" t="s">
        <v>1351</v>
      </c>
      <c r="D2068" t="str">
        <f t="shared" si="33"/>
        <v>MX9012169194,</v>
      </c>
    </row>
    <row r="2069" spans="3:4">
      <c r="C2069" t="s">
        <v>4071</v>
      </c>
      <c r="D2069" t="str">
        <f t="shared" si="33"/>
        <v>OK7514312809,</v>
      </c>
    </row>
    <row r="2070" spans="3:4">
      <c r="C2070" t="s">
        <v>4072</v>
      </c>
      <c r="D2070" t="str">
        <f t="shared" si="33"/>
        <v>OK7514313551,</v>
      </c>
    </row>
    <row r="2071" spans="3:4">
      <c r="C2071" t="s">
        <v>4073</v>
      </c>
      <c r="D2071" t="str">
        <f t="shared" si="33"/>
        <v>OK7514315316,</v>
      </c>
    </row>
    <row r="2072" spans="3:4">
      <c r="C2072" t="s">
        <v>4074</v>
      </c>
      <c r="D2072" t="str">
        <f t="shared" si="33"/>
        <v>OK7514315427,</v>
      </c>
    </row>
    <row r="2073" spans="3:4">
      <c r="C2073" t="s">
        <v>2241</v>
      </c>
      <c r="D2073" t="str">
        <f t="shared" si="33"/>
        <v>OK7514368425,</v>
      </c>
    </row>
    <row r="2074" spans="3:4">
      <c r="C2074" t="s">
        <v>4075</v>
      </c>
      <c r="D2074" t="str">
        <f t="shared" si="33"/>
        <v>OK7514468963,</v>
      </c>
    </row>
    <row r="2075" spans="3:4">
      <c r="C2075" t="s">
        <v>4076</v>
      </c>
      <c r="D2075" t="str">
        <f t="shared" si="33"/>
        <v>OK7514472535,</v>
      </c>
    </row>
    <row r="2076" spans="3:4">
      <c r="C2076" t="s">
        <v>4077</v>
      </c>
      <c r="D2076" t="str">
        <f t="shared" si="33"/>
        <v>OT7504415462,</v>
      </c>
    </row>
    <row r="2077" spans="3:4">
      <c r="C2077" t="s">
        <v>4078</v>
      </c>
      <c r="D2077" t="str">
        <f t="shared" si="33"/>
        <v>PR7506959851,</v>
      </c>
    </row>
    <row r="2078" spans="3:4">
      <c r="C2078" t="s">
        <v>4079</v>
      </c>
      <c r="D2078" t="str">
        <f t="shared" si="33"/>
        <v>PR7506959963,</v>
      </c>
    </row>
    <row r="2079" spans="3:4">
      <c r="C2079" t="s">
        <v>4080</v>
      </c>
      <c r="D2079" t="str">
        <f t="shared" ref="D2079:D2142" si="34">""&amp;C2079&amp;","</f>
        <v>PW7502658432,</v>
      </c>
    </row>
    <row r="2080" spans="3:4">
      <c r="C2080" t="s">
        <v>4081</v>
      </c>
      <c r="D2080" t="str">
        <f t="shared" si="34"/>
        <v>PW7502658556,</v>
      </c>
    </row>
    <row r="2081" spans="3:4">
      <c r="C2081" t="s">
        <v>4082</v>
      </c>
      <c r="D2081" t="str">
        <f t="shared" si="34"/>
        <v>PW7513561281,</v>
      </c>
    </row>
    <row r="2082" spans="3:4">
      <c r="C2082" t="s">
        <v>4083</v>
      </c>
      <c r="D2082" t="str">
        <f t="shared" si="34"/>
        <v>PW7513562835,</v>
      </c>
    </row>
    <row r="2083" spans="3:4">
      <c r="C2083" t="s">
        <v>4084</v>
      </c>
      <c r="D2083" t="str">
        <f t="shared" si="34"/>
        <v>PW7513564098,</v>
      </c>
    </row>
    <row r="2084" spans="3:4">
      <c r="C2084" t="s">
        <v>1425</v>
      </c>
      <c r="D2084" t="str">
        <f t="shared" si="34"/>
        <v>PW9012174426,</v>
      </c>
    </row>
    <row r="2085" spans="3:4">
      <c r="C2085" t="s">
        <v>4085</v>
      </c>
      <c r="D2085" t="str">
        <f t="shared" si="34"/>
        <v>QD9011819746,</v>
      </c>
    </row>
    <row r="2086" spans="3:4">
      <c r="C2086" t="s">
        <v>4086</v>
      </c>
      <c r="D2086" t="str">
        <f t="shared" si="34"/>
        <v>RN7503439071,</v>
      </c>
    </row>
    <row r="2087" spans="3:4">
      <c r="C2087" t="s">
        <v>4087</v>
      </c>
      <c r="D2087" t="str">
        <f t="shared" si="34"/>
        <v>RN7514617853,</v>
      </c>
    </row>
    <row r="2088" spans="3:4">
      <c r="C2088" t="s">
        <v>4088</v>
      </c>
      <c r="D2088" t="str">
        <f t="shared" si="34"/>
        <v>RN9012059990,</v>
      </c>
    </row>
    <row r="2089" spans="3:4">
      <c r="C2089" t="s">
        <v>4089</v>
      </c>
      <c r="D2089" t="str">
        <f t="shared" si="34"/>
        <v>RN9012072863,</v>
      </c>
    </row>
    <row r="2090" spans="3:4">
      <c r="C2090" t="s">
        <v>4090</v>
      </c>
      <c r="D2090" t="str">
        <f t="shared" si="34"/>
        <v>RN9012073041,</v>
      </c>
    </row>
    <row r="2091" spans="3:4">
      <c r="C2091" t="s">
        <v>4091</v>
      </c>
      <c r="D2091" t="str">
        <f t="shared" si="34"/>
        <v>RN9012077858,</v>
      </c>
    </row>
    <row r="2092" spans="3:4">
      <c r="C2092" t="s">
        <v>4092</v>
      </c>
      <c r="D2092" t="str">
        <f t="shared" si="34"/>
        <v>RN9012079244,</v>
      </c>
    </row>
    <row r="2093" spans="3:4">
      <c r="C2093" t="s">
        <v>4093</v>
      </c>
      <c r="D2093" t="str">
        <f t="shared" si="34"/>
        <v>RR7503681236,</v>
      </c>
    </row>
    <row r="2094" spans="3:4">
      <c r="C2094" t="s">
        <v>4094</v>
      </c>
      <c r="D2094" t="str">
        <f t="shared" si="34"/>
        <v>RW0060928284,</v>
      </c>
    </row>
    <row r="2095" spans="3:4">
      <c r="C2095" t="s">
        <v>4095</v>
      </c>
      <c r="D2095" t="str">
        <f t="shared" si="34"/>
        <v>RW0060944415,</v>
      </c>
    </row>
    <row r="2096" spans="3:4">
      <c r="C2096" t="s">
        <v>4096</v>
      </c>
      <c r="D2096" t="str">
        <f t="shared" si="34"/>
        <v>RW0060944418,</v>
      </c>
    </row>
    <row r="2097" spans="3:4">
      <c r="C2097" t="s">
        <v>4097</v>
      </c>
      <c r="D2097" t="str">
        <f t="shared" si="34"/>
        <v>RW7502482089,</v>
      </c>
    </row>
    <row r="2098" spans="3:4">
      <c r="C2098" t="s">
        <v>4098</v>
      </c>
      <c r="D2098" t="str">
        <f t="shared" si="34"/>
        <v>RW7507278902,</v>
      </c>
    </row>
    <row r="2099" spans="3:4">
      <c r="C2099" t="s">
        <v>1515</v>
      </c>
      <c r="D2099" t="str">
        <f t="shared" si="34"/>
        <v>RW7507287979,</v>
      </c>
    </row>
    <row r="2100" spans="3:4">
      <c r="C2100" t="s">
        <v>4099</v>
      </c>
      <c r="D2100" t="str">
        <f t="shared" si="34"/>
        <v>RW7507287997,</v>
      </c>
    </row>
    <row r="2101" spans="3:4">
      <c r="C2101" t="s">
        <v>4100</v>
      </c>
      <c r="D2101" t="str">
        <f t="shared" si="34"/>
        <v>RW7507289570,</v>
      </c>
    </row>
    <row r="2102" spans="3:4">
      <c r="C2102" t="s">
        <v>4101</v>
      </c>
      <c r="D2102" t="str">
        <f t="shared" si="34"/>
        <v>RW7507289941,</v>
      </c>
    </row>
    <row r="2103" spans="3:4">
      <c r="C2103" t="s">
        <v>4102</v>
      </c>
      <c r="D2103" t="str">
        <f t="shared" si="34"/>
        <v>RW7507290392,</v>
      </c>
    </row>
    <row r="2104" spans="3:4">
      <c r="C2104" t="s">
        <v>4103</v>
      </c>
      <c r="D2104" t="str">
        <f t="shared" si="34"/>
        <v>RW7507290641,</v>
      </c>
    </row>
    <row r="2105" spans="3:4">
      <c r="C2105" t="s">
        <v>4104</v>
      </c>
      <c r="D2105" t="str">
        <f t="shared" si="34"/>
        <v>RW7507290685,</v>
      </c>
    </row>
    <row r="2106" spans="3:4">
      <c r="C2106" t="s">
        <v>4105</v>
      </c>
      <c r="D2106" t="str">
        <f t="shared" si="34"/>
        <v>RW7507290719,</v>
      </c>
    </row>
    <row r="2107" spans="3:4">
      <c r="C2107" t="s">
        <v>4106</v>
      </c>
      <c r="D2107" t="str">
        <f t="shared" si="34"/>
        <v>RW7507291147,</v>
      </c>
    </row>
    <row r="2108" spans="3:4">
      <c r="C2108" t="s">
        <v>4107</v>
      </c>
      <c r="D2108" t="str">
        <f t="shared" si="34"/>
        <v>RW7507292034,</v>
      </c>
    </row>
    <row r="2109" spans="3:4">
      <c r="C2109" t="s">
        <v>4108</v>
      </c>
      <c r="D2109" t="str">
        <f t="shared" si="34"/>
        <v>RW7507292932,</v>
      </c>
    </row>
    <row r="2110" spans="3:4">
      <c r="C2110" t="s">
        <v>4109</v>
      </c>
      <c r="D2110" t="str">
        <f t="shared" si="34"/>
        <v>RW7507296184,</v>
      </c>
    </row>
    <row r="2111" spans="3:4">
      <c r="C2111" t="s">
        <v>4110</v>
      </c>
      <c r="D2111" t="str">
        <f t="shared" si="34"/>
        <v>RW7507298127,</v>
      </c>
    </row>
    <row r="2112" spans="3:4">
      <c r="C2112" t="s">
        <v>4111</v>
      </c>
      <c r="D2112" t="str">
        <f t="shared" si="34"/>
        <v>RW7507298186,</v>
      </c>
    </row>
    <row r="2113" spans="3:4">
      <c r="C2113" t="s">
        <v>4112</v>
      </c>
      <c r="D2113" t="str">
        <f t="shared" si="34"/>
        <v>RW7507299754,</v>
      </c>
    </row>
    <row r="2114" spans="3:4">
      <c r="C2114" t="s">
        <v>4113</v>
      </c>
      <c r="D2114" t="str">
        <f t="shared" si="34"/>
        <v>RW7507300576,</v>
      </c>
    </row>
    <row r="2115" spans="3:4">
      <c r="C2115" t="s">
        <v>4114</v>
      </c>
      <c r="D2115" t="str">
        <f t="shared" si="34"/>
        <v>RW7507301263,</v>
      </c>
    </row>
    <row r="2116" spans="3:4">
      <c r="C2116" t="s">
        <v>4115</v>
      </c>
      <c r="D2116" t="str">
        <f t="shared" si="34"/>
        <v>RW7507302982,</v>
      </c>
    </row>
    <row r="2117" spans="3:4">
      <c r="C2117" t="s">
        <v>2189</v>
      </c>
      <c r="D2117" t="str">
        <f t="shared" si="34"/>
        <v>RW7507304543,</v>
      </c>
    </row>
    <row r="2118" spans="3:4">
      <c r="C2118" t="s">
        <v>4116</v>
      </c>
      <c r="D2118" t="str">
        <f t="shared" si="34"/>
        <v>RW7507304801,</v>
      </c>
    </row>
    <row r="2119" spans="3:4">
      <c r="C2119" t="s">
        <v>4117</v>
      </c>
      <c r="D2119" t="str">
        <f t="shared" si="34"/>
        <v>RW7507305871,</v>
      </c>
    </row>
    <row r="2120" spans="3:4">
      <c r="C2120" t="s">
        <v>4118</v>
      </c>
      <c r="D2120" t="str">
        <f t="shared" si="34"/>
        <v>RW7514860097,</v>
      </c>
    </row>
    <row r="2121" spans="3:4">
      <c r="C2121" t="s">
        <v>4119</v>
      </c>
      <c r="D2121" t="str">
        <f t="shared" si="34"/>
        <v>RW7515001831,</v>
      </c>
    </row>
    <row r="2122" spans="3:4">
      <c r="C2122" t="s">
        <v>4120</v>
      </c>
      <c r="D2122" t="str">
        <f t="shared" si="34"/>
        <v>RW7515002715,</v>
      </c>
    </row>
    <row r="2123" spans="3:4">
      <c r="C2123" t="s">
        <v>4121</v>
      </c>
      <c r="D2123" t="str">
        <f t="shared" si="34"/>
        <v>RW7515003434,</v>
      </c>
    </row>
    <row r="2124" spans="3:4">
      <c r="C2124" t="s">
        <v>4122</v>
      </c>
      <c r="D2124" t="str">
        <f t="shared" si="34"/>
        <v>RW7515005400,</v>
      </c>
    </row>
    <row r="2125" spans="3:4">
      <c r="C2125" t="s">
        <v>2247</v>
      </c>
      <c r="D2125" t="str">
        <f t="shared" si="34"/>
        <v>SA7507890051,</v>
      </c>
    </row>
    <row r="2126" spans="3:4">
      <c r="C2126" t="s">
        <v>4123</v>
      </c>
      <c r="D2126" t="str">
        <f t="shared" si="34"/>
        <v>SA7514076997,</v>
      </c>
    </row>
    <row r="2127" spans="3:4">
      <c r="C2127" t="s">
        <v>4124</v>
      </c>
      <c r="D2127" t="str">
        <f t="shared" si="34"/>
        <v>SA7514077245,</v>
      </c>
    </row>
    <row r="2128" spans="3:4">
      <c r="C2128" t="s">
        <v>4125</v>
      </c>
      <c r="D2128" t="str">
        <f t="shared" si="34"/>
        <v>SA7514077313,</v>
      </c>
    </row>
    <row r="2129" spans="3:4">
      <c r="C2129" t="s">
        <v>4126</v>
      </c>
      <c r="D2129" t="str">
        <f t="shared" si="34"/>
        <v>SA7514079219,</v>
      </c>
    </row>
    <row r="2130" spans="3:4">
      <c r="C2130" t="s">
        <v>4127</v>
      </c>
      <c r="D2130" t="str">
        <f t="shared" si="34"/>
        <v>SA7514145048,</v>
      </c>
    </row>
    <row r="2131" spans="3:4">
      <c r="C2131" t="s">
        <v>4128</v>
      </c>
      <c r="D2131" t="str">
        <f t="shared" si="34"/>
        <v>SA7514146093,</v>
      </c>
    </row>
    <row r="2132" spans="3:4">
      <c r="C2132" t="s">
        <v>4129</v>
      </c>
      <c r="D2132" t="str">
        <f t="shared" si="34"/>
        <v>SA7514147719,</v>
      </c>
    </row>
    <row r="2133" spans="3:4">
      <c r="C2133" t="s">
        <v>4130</v>
      </c>
      <c r="D2133" t="str">
        <f t="shared" si="34"/>
        <v>SA7514149264,</v>
      </c>
    </row>
    <row r="2134" spans="3:4">
      <c r="C2134" t="s">
        <v>4131</v>
      </c>
      <c r="D2134" t="str">
        <f t="shared" si="34"/>
        <v>SD7507949761,</v>
      </c>
    </row>
    <row r="2135" spans="3:4">
      <c r="C2135" t="s">
        <v>4132</v>
      </c>
      <c r="D2135" t="str">
        <f t="shared" si="34"/>
        <v>SL7507523825,</v>
      </c>
    </row>
    <row r="2136" spans="3:4">
      <c r="C2136" t="s">
        <v>4133</v>
      </c>
      <c r="D2136" t="str">
        <f t="shared" si="34"/>
        <v>SL7507524770,</v>
      </c>
    </row>
    <row r="2137" spans="3:4">
      <c r="C2137" t="s">
        <v>4134</v>
      </c>
      <c r="D2137" t="str">
        <f t="shared" si="34"/>
        <v>SL7507524859,</v>
      </c>
    </row>
    <row r="2138" spans="3:4">
      <c r="C2138" t="s">
        <v>4135</v>
      </c>
      <c r="D2138" t="str">
        <f t="shared" si="34"/>
        <v>SL7507527679,</v>
      </c>
    </row>
    <row r="2139" spans="3:4">
      <c r="C2139" t="s">
        <v>4136</v>
      </c>
      <c r="D2139" t="str">
        <f t="shared" si="34"/>
        <v>SL7507529443,</v>
      </c>
    </row>
    <row r="2140" spans="3:4">
      <c r="C2140" t="s">
        <v>4137</v>
      </c>
      <c r="D2140" t="str">
        <f t="shared" si="34"/>
        <v>SL7507529770,</v>
      </c>
    </row>
    <row r="2141" spans="3:4">
      <c r="C2141" t="s">
        <v>4138</v>
      </c>
      <c r="D2141" t="str">
        <f t="shared" si="34"/>
        <v>SL7507530193,</v>
      </c>
    </row>
    <row r="2142" spans="3:4">
      <c r="C2142" t="s">
        <v>4139</v>
      </c>
      <c r="D2142" t="str">
        <f t="shared" si="34"/>
        <v>SL7507530825,</v>
      </c>
    </row>
    <row r="2143" spans="3:4">
      <c r="C2143" t="s">
        <v>4140</v>
      </c>
      <c r="D2143" t="str">
        <f t="shared" ref="D2143:D2206" si="35">""&amp;C2143&amp;","</f>
        <v>SP7514182873,</v>
      </c>
    </row>
    <row r="2144" spans="3:4">
      <c r="C2144" t="s">
        <v>4141</v>
      </c>
      <c r="D2144" t="str">
        <f t="shared" si="35"/>
        <v>SP7514183393,</v>
      </c>
    </row>
    <row r="2145" spans="3:4">
      <c r="C2145" t="s">
        <v>4142</v>
      </c>
      <c r="D2145" t="str">
        <f t="shared" si="35"/>
        <v>SQ9011813067,</v>
      </c>
    </row>
    <row r="2146" spans="3:4">
      <c r="C2146" t="s">
        <v>4143</v>
      </c>
      <c r="D2146" t="str">
        <f t="shared" si="35"/>
        <v>SR7503828262,</v>
      </c>
    </row>
    <row r="2147" spans="3:4">
      <c r="C2147" t="s">
        <v>4144</v>
      </c>
      <c r="D2147" t="str">
        <f t="shared" si="35"/>
        <v>TM7513952484,</v>
      </c>
    </row>
    <row r="2148" spans="3:4">
      <c r="C2148" t="s">
        <v>4145</v>
      </c>
      <c r="D2148" t="str">
        <f t="shared" si="35"/>
        <v>TP7504618701,</v>
      </c>
    </row>
    <row r="2149" spans="3:4">
      <c r="C2149" t="s">
        <v>4146</v>
      </c>
      <c r="D2149" t="str">
        <f t="shared" si="35"/>
        <v>TT7503489493,</v>
      </c>
    </row>
    <row r="2150" spans="3:4">
      <c r="C2150" t="s">
        <v>4147</v>
      </c>
      <c r="D2150" t="str">
        <f t="shared" si="35"/>
        <v>VR7503501392,</v>
      </c>
    </row>
    <row r="2151" spans="3:4">
      <c r="C2151" t="s">
        <v>4148</v>
      </c>
      <c r="D2151" t="str">
        <f t="shared" si="35"/>
        <v>WC9011779907,</v>
      </c>
    </row>
    <row r="2152" spans="3:4">
      <c r="C2152" t="s">
        <v>1425</v>
      </c>
      <c r="D2152" t="str">
        <f t="shared" si="35"/>
        <v>PW9012174426,</v>
      </c>
    </row>
    <row r="2153" spans="3:4">
      <c r="C2153" t="s">
        <v>3524</v>
      </c>
      <c r="D2153" t="str">
        <f t="shared" si="35"/>
        <v>KI7508712670,</v>
      </c>
    </row>
    <row r="2154" spans="3:4">
      <c r="C2154" t="s">
        <v>2704</v>
      </c>
      <c r="D2154" t="str">
        <f t="shared" si="35"/>
        <v>FS9012158493,</v>
      </c>
    </row>
    <row r="2155" spans="3:4">
      <c r="C2155" t="s">
        <v>1216</v>
      </c>
      <c r="D2155" t="str">
        <f t="shared" si="35"/>
        <v>FS7512359950,</v>
      </c>
    </row>
    <row r="2156" spans="3:4">
      <c r="C2156" t="s">
        <v>2707</v>
      </c>
      <c r="D2156" t="str">
        <f t="shared" si="35"/>
        <v>FS7512361713,</v>
      </c>
    </row>
    <row r="2157" spans="3:4">
      <c r="C2157" t="s">
        <v>3012</v>
      </c>
      <c r="D2157" t="str">
        <f t="shared" si="35"/>
        <v>FS7512362453,</v>
      </c>
    </row>
    <row r="2158" spans="3:4">
      <c r="C2158" t="s">
        <v>3036</v>
      </c>
      <c r="D2158" t="str">
        <f t="shared" si="35"/>
        <v>FS7512370700,</v>
      </c>
    </row>
    <row r="2159" spans="3:4">
      <c r="C2159" t="s">
        <v>1262</v>
      </c>
      <c r="D2159" t="str">
        <f t="shared" si="35"/>
        <v>FS7511993409,</v>
      </c>
    </row>
    <row r="2160" spans="3:4">
      <c r="C2160" t="s">
        <v>3095</v>
      </c>
      <c r="D2160" t="str">
        <f t="shared" si="35"/>
        <v>FS7512015572,</v>
      </c>
    </row>
    <row r="2161" spans="3:4">
      <c r="C2161" t="s">
        <v>2684</v>
      </c>
      <c r="D2161" t="str">
        <f t="shared" si="35"/>
        <v>FS7512016201,</v>
      </c>
    </row>
    <row r="2162" spans="3:4">
      <c r="C2162" t="s">
        <v>3136</v>
      </c>
      <c r="D2162" t="str">
        <f t="shared" si="35"/>
        <v>FS7512049694,</v>
      </c>
    </row>
    <row r="2163" spans="3:4">
      <c r="C2163" t="s">
        <v>2698</v>
      </c>
      <c r="D2163" t="str">
        <f t="shared" si="35"/>
        <v>FS7512051555,</v>
      </c>
    </row>
    <row r="2164" spans="3:4">
      <c r="C2164" t="s">
        <v>2863</v>
      </c>
      <c r="D2164" t="str">
        <f t="shared" si="35"/>
        <v>FS7512057687,</v>
      </c>
    </row>
    <row r="2165" spans="3:4">
      <c r="C2165" t="s">
        <v>2816</v>
      </c>
      <c r="D2165" t="str">
        <f t="shared" si="35"/>
        <v>FS7512371358,</v>
      </c>
    </row>
    <row r="2166" spans="3:4">
      <c r="C2166" t="s">
        <v>2839</v>
      </c>
      <c r="D2166" t="str">
        <f t="shared" si="35"/>
        <v>FS7512064611,</v>
      </c>
    </row>
    <row r="2167" spans="3:4">
      <c r="C2167" t="s">
        <v>2864</v>
      </c>
      <c r="D2167" t="str">
        <f t="shared" si="35"/>
        <v>FS7512064984,</v>
      </c>
    </row>
    <row r="2168" spans="3:4">
      <c r="C2168" t="s">
        <v>2840</v>
      </c>
      <c r="D2168" t="str">
        <f t="shared" si="35"/>
        <v>FS7512065891,</v>
      </c>
    </row>
    <row r="2169" spans="3:4">
      <c r="C2169" t="s">
        <v>2841</v>
      </c>
      <c r="D2169" t="str">
        <f t="shared" si="35"/>
        <v>FS7512067986,</v>
      </c>
    </row>
    <row r="2170" spans="3:4">
      <c r="C2170" t="s">
        <v>2826</v>
      </c>
      <c r="D2170" t="str">
        <f t="shared" si="35"/>
        <v>FS7512068884,</v>
      </c>
    </row>
    <row r="2171" spans="3:4">
      <c r="C2171" t="s">
        <v>2827</v>
      </c>
      <c r="D2171" t="str">
        <f t="shared" si="35"/>
        <v>FS7512071873,</v>
      </c>
    </row>
    <row r="2172" spans="3:4">
      <c r="C2172" t="s">
        <v>2880</v>
      </c>
      <c r="D2172" t="str">
        <f t="shared" si="35"/>
        <v>FS7512072297,</v>
      </c>
    </row>
    <row r="2173" spans="3:4">
      <c r="C2173" t="s">
        <v>2773</v>
      </c>
      <c r="D2173" t="str">
        <f t="shared" si="35"/>
        <v>FS7512074422,</v>
      </c>
    </row>
    <row r="2174" spans="3:4">
      <c r="C2174" t="s">
        <v>1624</v>
      </c>
      <c r="D2174" t="str">
        <f t="shared" si="35"/>
        <v>FS7512074625,</v>
      </c>
    </row>
    <row r="2175" spans="3:4">
      <c r="C2175" t="s">
        <v>2842</v>
      </c>
      <c r="D2175" t="str">
        <f t="shared" si="35"/>
        <v>FS7512075524,</v>
      </c>
    </row>
    <row r="2176" spans="3:4">
      <c r="C2176" t="s">
        <v>2534</v>
      </c>
      <c r="D2176" t="str">
        <f t="shared" si="35"/>
        <v>FS7512031708,</v>
      </c>
    </row>
    <row r="2177" spans="3:4">
      <c r="C2177" t="s">
        <v>1663</v>
      </c>
      <c r="D2177" t="str">
        <f t="shared" si="35"/>
        <v>FS7512052972,</v>
      </c>
    </row>
    <row r="2178" spans="3:4">
      <c r="C2178" t="s">
        <v>2796</v>
      </c>
      <c r="D2178" t="str">
        <f t="shared" si="35"/>
        <v>FS7511986973,</v>
      </c>
    </row>
    <row r="2179" spans="3:4">
      <c r="C2179" t="s">
        <v>2815</v>
      </c>
      <c r="D2179" t="str">
        <f t="shared" si="35"/>
        <v>FS7512034527,</v>
      </c>
    </row>
    <row r="2180" spans="3:4">
      <c r="C2180" t="s">
        <v>3135</v>
      </c>
      <c r="D2180" t="str">
        <f t="shared" si="35"/>
        <v>FS7512048471,</v>
      </c>
    </row>
    <row r="2181" spans="3:4">
      <c r="C2181" t="s">
        <v>2677</v>
      </c>
      <c r="D2181" t="str">
        <f t="shared" si="35"/>
        <v>FS7512069247,</v>
      </c>
    </row>
    <row r="2182" spans="3:4">
      <c r="C2182" t="s">
        <v>1441</v>
      </c>
      <c r="D2182" t="str">
        <f t="shared" si="35"/>
        <v>FS7512071205,</v>
      </c>
    </row>
    <row r="2183" spans="3:4">
      <c r="C2183" t="s">
        <v>3218</v>
      </c>
      <c r="D2183" t="str">
        <f t="shared" si="35"/>
        <v>FS7512077319,</v>
      </c>
    </row>
    <row r="2184" spans="3:4">
      <c r="C2184" t="s">
        <v>1482</v>
      </c>
      <c r="D2184" t="str">
        <f t="shared" si="35"/>
        <v>GW9012195348,</v>
      </c>
    </row>
    <row r="2185" spans="3:4">
      <c r="C2185" t="s">
        <v>3000</v>
      </c>
      <c r="D2185" t="str">
        <f t="shared" si="35"/>
        <v>GW7507925207,</v>
      </c>
    </row>
    <row r="2186" spans="3:4">
      <c r="C2186" t="s">
        <v>1863</v>
      </c>
      <c r="D2186" t="str">
        <f t="shared" si="35"/>
        <v>ID9011560532,</v>
      </c>
    </row>
    <row r="2187" spans="3:4">
      <c r="C2187" t="s">
        <v>3139</v>
      </c>
      <c r="D2187" t="str">
        <f t="shared" si="35"/>
        <v>ID9011560557,</v>
      </c>
    </row>
    <row r="2188" spans="3:4">
      <c r="C2188" t="s">
        <v>3121</v>
      </c>
      <c r="D2188" t="str">
        <f t="shared" si="35"/>
        <v>ID9011560533,</v>
      </c>
    </row>
    <row r="2189" spans="3:4">
      <c r="C2189" t="s">
        <v>1855</v>
      </c>
      <c r="D2189" t="str">
        <f t="shared" si="35"/>
        <v>ID9012189907,</v>
      </c>
    </row>
    <row r="2190" spans="3:4">
      <c r="C2190" t="s">
        <v>3113</v>
      </c>
      <c r="D2190" t="str">
        <f t="shared" si="35"/>
        <v>AM7513834820,</v>
      </c>
    </row>
    <row r="2191" spans="3:4">
      <c r="C2191" t="s">
        <v>2097</v>
      </c>
      <c r="D2191" t="str">
        <f t="shared" si="35"/>
        <v>KI9012135853,</v>
      </c>
    </row>
    <row r="2192" spans="3:4">
      <c r="C2192" t="s">
        <v>3072</v>
      </c>
      <c r="D2192" t="str">
        <f t="shared" si="35"/>
        <v>KI9012119857,</v>
      </c>
    </row>
    <row r="2193" spans="3:4">
      <c r="C2193" t="s">
        <v>1464</v>
      </c>
      <c r="D2193" t="str">
        <f t="shared" si="35"/>
        <v>KI9012158708,</v>
      </c>
    </row>
    <row r="2194" spans="3:4">
      <c r="C2194" t="s">
        <v>3098</v>
      </c>
      <c r="D2194" t="str">
        <f t="shared" si="35"/>
        <v>KI9012159953,</v>
      </c>
    </row>
    <row r="2195" spans="3:4">
      <c r="C2195" t="s">
        <v>1353</v>
      </c>
      <c r="D2195" t="str">
        <f t="shared" si="35"/>
        <v>KI9012162844,</v>
      </c>
    </row>
    <row r="2196" spans="3:4">
      <c r="C2196" t="s">
        <v>2705</v>
      </c>
      <c r="D2196" t="str">
        <f t="shared" si="35"/>
        <v>KI9012164336,</v>
      </c>
    </row>
    <row r="2197" spans="3:4">
      <c r="C2197" t="s">
        <v>2710</v>
      </c>
      <c r="D2197" t="str">
        <f t="shared" si="35"/>
        <v>KI9012165743,</v>
      </c>
    </row>
    <row r="2198" spans="3:4">
      <c r="C2198" t="s">
        <v>2706</v>
      </c>
      <c r="D2198" t="str">
        <f t="shared" si="35"/>
        <v>KI9012167893,</v>
      </c>
    </row>
    <row r="2199" spans="3:4">
      <c r="C2199" t="s">
        <v>2700</v>
      </c>
      <c r="D2199" t="str">
        <f t="shared" si="35"/>
        <v>KI9012169769,</v>
      </c>
    </row>
    <row r="2200" spans="3:4">
      <c r="C2200" t="s">
        <v>1684</v>
      </c>
      <c r="D2200" t="str">
        <f t="shared" si="35"/>
        <v>KI9012171576,</v>
      </c>
    </row>
    <row r="2201" spans="3:4">
      <c r="C2201" t="s">
        <v>2711</v>
      </c>
      <c r="D2201" t="str">
        <f t="shared" si="35"/>
        <v>KI9012172486,</v>
      </c>
    </row>
    <row r="2202" spans="3:4">
      <c r="C2202" t="s">
        <v>3085</v>
      </c>
      <c r="D2202" t="str">
        <f t="shared" si="35"/>
        <v>KI9012173511,</v>
      </c>
    </row>
    <row r="2203" spans="3:4">
      <c r="C2203" t="s">
        <v>3066</v>
      </c>
      <c r="D2203" t="str">
        <f t="shared" si="35"/>
        <v>KI9012173797,</v>
      </c>
    </row>
    <row r="2204" spans="3:4">
      <c r="C2204" t="s">
        <v>2701</v>
      </c>
      <c r="D2204" t="str">
        <f t="shared" si="35"/>
        <v>KI9012174566,</v>
      </c>
    </row>
    <row r="2205" spans="3:4">
      <c r="C2205" t="s">
        <v>2702</v>
      </c>
      <c r="D2205" t="str">
        <f t="shared" si="35"/>
        <v>KI9012176274,</v>
      </c>
    </row>
    <row r="2206" spans="3:4">
      <c r="C2206" t="s">
        <v>2714</v>
      </c>
      <c r="D2206" t="str">
        <f t="shared" si="35"/>
        <v>KI9012174002,</v>
      </c>
    </row>
    <row r="2207" spans="3:4">
      <c r="C2207" t="s">
        <v>1489</v>
      </c>
      <c r="D2207" t="str">
        <f t="shared" ref="D2207:D2270" si="36">""&amp;C2207&amp;","</f>
        <v>KI9012178091,</v>
      </c>
    </row>
    <row r="2208" spans="3:4">
      <c r="C2208" t="s">
        <v>2648</v>
      </c>
      <c r="D2208" t="str">
        <f t="shared" si="36"/>
        <v>KI9012178886,</v>
      </c>
    </row>
    <row r="2209" spans="3:4">
      <c r="C2209" t="s">
        <v>1820</v>
      </c>
      <c r="D2209" t="str">
        <f t="shared" si="36"/>
        <v>KI9012179049,</v>
      </c>
    </row>
    <row r="2210" spans="3:4">
      <c r="C2210" t="s">
        <v>1501</v>
      </c>
      <c r="D2210" t="str">
        <f t="shared" si="36"/>
        <v>KI9012181044,</v>
      </c>
    </row>
    <row r="2211" spans="3:4">
      <c r="C2211" t="s">
        <v>1636</v>
      </c>
      <c r="D2211" t="str">
        <f t="shared" si="36"/>
        <v>KI9012181580,</v>
      </c>
    </row>
    <row r="2212" spans="3:4">
      <c r="C2212" t="s">
        <v>2801</v>
      </c>
      <c r="D2212" t="str">
        <f t="shared" si="36"/>
        <v>KI9012183361,</v>
      </c>
    </row>
    <row r="2213" spans="3:4">
      <c r="C2213" t="s">
        <v>3208</v>
      </c>
      <c r="D2213" t="str">
        <f t="shared" si="36"/>
        <v>KI9012185326,</v>
      </c>
    </row>
    <row r="2214" spans="3:4">
      <c r="C2214" t="s">
        <v>1694</v>
      </c>
      <c r="D2214" t="str">
        <f t="shared" si="36"/>
        <v>KI9012185523,</v>
      </c>
    </row>
    <row r="2215" spans="3:4">
      <c r="C2215" t="s">
        <v>1516</v>
      </c>
      <c r="D2215" t="str">
        <f t="shared" si="36"/>
        <v>KI9012186921,</v>
      </c>
    </row>
    <row r="2216" spans="3:4">
      <c r="C2216" t="s">
        <v>1493</v>
      </c>
      <c r="D2216" t="str">
        <f t="shared" si="36"/>
        <v>KI9012190711,</v>
      </c>
    </row>
    <row r="2217" spans="3:4">
      <c r="C2217" t="s">
        <v>1492</v>
      </c>
      <c r="D2217" t="str">
        <f t="shared" si="36"/>
        <v>KI9012191178,</v>
      </c>
    </row>
    <row r="2218" spans="3:4">
      <c r="C2218" t="s">
        <v>1827</v>
      </c>
      <c r="D2218" t="str">
        <f t="shared" si="36"/>
        <v>KI9012193578,</v>
      </c>
    </row>
    <row r="2219" spans="3:4">
      <c r="C2219" t="s">
        <v>1670</v>
      </c>
      <c r="D2219" t="str">
        <f t="shared" si="36"/>
        <v>KI9012193813,</v>
      </c>
    </row>
    <row r="2220" spans="3:4">
      <c r="C2220" t="s">
        <v>1669</v>
      </c>
      <c r="D2220" t="str">
        <f t="shared" si="36"/>
        <v>KI9012194366,</v>
      </c>
    </row>
    <row r="2221" spans="3:4">
      <c r="C2221" t="s">
        <v>1666</v>
      </c>
      <c r="D2221" t="str">
        <f t="shared" si="36"/>
        <v>KI9012195057,</v>
      </c>
    </row>
    <row r="2222" spans="3:4">
      <c r="C2222" t="s">
        <v>2654</v>
      </c>
      <c r="D2222" t="str">
        <f t="shared" si="36"/>
        <v>KI7508620546,</v>
      </c>
    </row>
    <row r="2223" spans="3:4">
      <c r="C2223" t="s">
        <v>2606</v>
      </c>
      <c r="D2223" t="str">
        <f t="shared" si="36"/>
        <v>KI7508626103,</v>
      </c>
    </row>
    <row r="2224" spans="3:4">
      <c r="C2224" t="s">
        <v>2713</v>
      </c>
      <c r="D2224" t="str">
        <f t="shared" si="36"/>
        <v>KI7508652606,</v>
      </c>
    </row>
    <row r="2225" spans="3:4">
      <c r="C2225" t="s">
        <v>2882</v>
      </c>
      <c r="D2225" t="str">
        <f t="shared" si="36"/>
        <v>KI7508657599,</v>
      </c>
    </row>
    <row r="2226" spans="3:4">
      <c r="C2226" t="s">
        <v>2874</v>
      </c>
      <c r="D2226" t="str">
        <f t="shared" si="36"/>
        <v>KI7508693931,</v>
      </c>
    </row>
    <row r="2227" spans="3:4">
      <c r="C2227" t="s">
        <v>2809</v>
      </c>
      <c r="D2227" t="str">
        <f t="shared" si="36"/>
        <v>KI7508702125,</v>
      </c>
    </row>
    <row r="2228" spans="3:4">
      <c r="C2228" t="s">
        <v>2613</v>
      </c>
      <c r="D2228" t="str">
        <f t="shared" si="36"/>
        <v>KI7508722867,</v>
      </c>
    </row>
    <row r="2229" spans="3:4">
      <c r="C2229" t="s">
        <v>2624</v>
      </c>
      <c r="D2229" t="str">
        <f t="shared" si="36"/>
        <v>KI7508726556,</v>
      </c>
    </row>
    <row r="2230" spans="3:4">
      <c r="C2230" t="s">
        <v>3157</v>
      </c>
      <c r="D2230" t="str">
        <f t="shared" si="36"/>
        <v>KI7506257941,</v>
      </c>
    </row>
    <row r="2231" spans="3:4">
      <c r="C2231" t="s">
        <v>3025</v>
      </c>
      <c r="D2231" t="str">
        <f t="shared" si="36"/>
        <v>KI7500686254,</v>
      </c>
    </row>
    <row r="2232" spans="3:4">
      <c r="C2232" t="s">
        <v>2712</v>
      </c>
      <c r="D2232" t="str">
        <f t="shared" si="36"/>
        <v>KI7508568170,</v>
      </c>
    </row>
    <row r="2233" spans="3:4">
      <c r="C2233" t="s">
        <v>3014</v>
      </c>
      <c r="D2233" t="str">
        <f t="shared" si="36"/>
        <v>KI7500687337,</v>
      </c>
    </row>
    <row r="2234" spans="3:4">
      <c r="C2234" t="s">
        <v>3202</v>
      </c>
      <c r="D2234" t="str">
        <f t="shared" si="36"/>
        <v>KI7508584685,</v>
      </c>
    </row>
    <row r="2235" spans="3:4">
      <c r="C2235" t="s">
        <v>2940</v>
      </c>
      <c r="D2235" t="str">
        <f t="shared" si="36"/>
        <v>KI7508590613,</v>
      </c>
    </row>
    <row r="2236" spans="3:4">
      <c r="C2236" t="s">
        <v>2868</v>
      </c>
      <c r="D2236" t="str">
        <f t="shared" si="36"/>
        <v>KI7508604958,</v>
      </c>
    </row>
    <row r="2237" spans="3:4">
      <c r="C2237" t="s">
        <v>3069</v>
      </c>
      <c r="D2237" t="str">
        <f t="shared" si="36"/>
        <v>KI7508627294,</v>
      </c>
    </row>
    <row r="2238" spans="3:4">
      <c r="C2238" t="s">
        <v>2791</v>
      </c>
      <c r="D2238" t="str">
        <f t="shared" si="36"/>
        <v>KI7508629274,</v>
      </c>
    </row>
    <row r="2239" spans="3:4">
      <c r="C2239" t="s">
        <v>2869</v>
      </c>
      <c r="D2239" t="str">
        <f t="shared" si="36"/>
        <v>KI7508637489,</v>
      </c>
    </row>
    <row r="2240" spans="3:4">
      <c r="C2240" t="s">
        <v>2767</v>
      </c>
      <c r="D2240" t="str">
        <f t="shared" si="36"/>
        <v>KI7508637522,</v>
      </c>
    </row>
    <row r="2241" spans="3:4">
      <c r="C2241" t="s">
        <v>2849</v>
      </c>
      <c r="D2241" t="str">
        <f t="shared" si="36"/>
        <v>KI7508637525,</v>
      </c>
    </row>
    <row r="2242" spans="3:4">
      <c r="C2242" t="s">
        <v>2776</v>
      </c>
      <c r="D2242" t="str">
        <f t="shared" si="36"/>
        <v>KI7508637543,</v>
      </c>
    </row>
    <row r="2243" spans="3:4">
      <c r="C2243" t="s">
        <v>3110</v>
      </c>
      <c r="D2243" t="str">
        <f t="shared" si="36"/>
        <v>KI7508640364,</v>
      </c>
    </row>
    <row r="2244" spans="3:4">
      <c r="C2244" t="s">
        <v>2871</v>
      </c>
      <c r="D2244" t="str">
        <f t="shared" si="36"/>
        <v>KI7508643641,</v>
      </c>
    </row>
    <row r="2245" spans="3:4">
      <c r="C2245" t="s">
        <v>2818</v>
      </c>
      <c r="D2245" t="str">
        <f t="shared" si="36"/>
        <v>KI7508652543,</v>
      </c>
    </row>
    <row r="2246" spans="3:4">
      <c r="C2246" t="s">
        <v>2850</v>
      </c>
      <c r="D2246" t="str">
        <f t="shared" si="36"/>
        <v>KI7508656558,</v>
      </c>
    </row>
    <row r="2247" spans="3:4">
      <c r="C2247" t="s">
        <v>2907</v>
      </c>
      <c r="D2247" t="str">
        <f t="shared" si="36"/>
        <v>KI7508656570,</v>
      </c>
    </row>
    <row r="2248" spans="3:4">
      <c r="C2248" t="s">
        <v>2979</v>
      </c>
      <c r="D2248" t="str">
        <f t="shared" si="36"/>
        <v>KI7508659498,</v>
      </c>
    </row>
    <row r="2249" spans="3:4">
      <c r="C2249" t="s">
        <v>3226</v>
      </c>
      <c r="D2249" t="str">
        <f t="shared" si="36"/>
        <v>KI7508665299,</v>
      </c>
    </row>
    <row r="2250" spans="3:4">
      <c r="C2250" t="s">
        <v>3158</v>
      </c>
      <c r="D2250" t="str">
        <f t="shared" si="36"/>
        <v>KI7508667265,</v>
      </c>
    </row>
    <row r="2251" spans="3:4">
      <c r="C2251" t="s">
        <v>1445</v>
      </c>
      <c r="D2251" t="str">
        <f t="shared" si="36"/>
        <v>KI7500696490,</v>
      </c>
    </row>
    <row r="2252" spans="3:4">
      <c r="C2252" t="s">
        <v>3201</v>
      </c>
      <c r="D2252" t="str">
        <f t="shared" si="36"/>
        <v>KI7500696479,</v>
      </c>
    </row>
    <row r="2253" spans="3:4">
      <c r="C2253" t="s">
        <v>2790</v>
      </c>
      <c r="D2253" t="str">
        <f t="shared" si="36"/>
        <v>KI7500697600,</v>
      </c>
    </row>
    <row r="2254" spans="3:4">
      <c r="C2254" t="s">
        <v>2799</v>
      </c>
      <c r="D2254" t="str">
        <f t="shared" si="36"/>
        <v>KI7508681693,</v>
      </c>
    </row>
    <row r="2255" spans="3:4">
      <c r="C2255" t="s">
        <v>2867</v>
      </c>
      <c r="D2255" t="str">
        <f t="shared" si="36"/>
        <v>KI7500698046,</v>
      </c>
    </row>
    <row r="2256" spans="3:4">
      <c r="C2256" t="s">
        <v>2873</v>
      </c>
      <c r="D2256" t="str">
        <f t="shared" si="36"/>
        <v>KI7508684800,</v>
      </c>
    </row>
    <row r="2257" spans="3:4">
      <c r="C2257" t="s">
        <v>2834</v>
      </c>
      <c r="D2257" t="str">
        <f t="shared" si="36"/>
        <v>KI7508689191,</v>
      </c>
    </row>
    <row r="2258" spans="3:4">
      <c r="C2258" t="s">
        <v>2851</v>
      </c>
      <c r="D2258" t="str">
        <f t="shared" si="36"/>
        <v>KI7508689217,</v>
      </c>
    </row>
    <row r="2259" spans="3:4">
      <c r="C2259" t="s">
        <v>2852</v>
      </c>
      <c r="D2259" t="str">
        <f t="shared" si="36"/>
        <v>KI7508690638,</v>
      </c>
    </row>
    <row r="2260" spans="3:4">
      <c r="C2260" t="s">
        <v>2687</v>
      </c>
      <c r="D2260" t="str">
        <f t="shared" si="36"/>
        <v>KI7508696945,</v>
      </c>
    </row>
    <row r="2261" spans="3:4">
      <c r="C2261" t="s">
        <v>2980</v>
      </c>
      <c r="D2261" t="str">
        <f t="shared" si="36"/>
        <v>KI7508699010,</v>
      </c>
    </row>
    <row r="2262" spans="3:4">
      <c r="C2262" t="s">
        <v>2800</v>
      </c>
      <c r="D2262" t="str">
        <f t="shared" si="36"/>
        <v>KI7508706490,</v>
      </c>
    </row>
    <row r="2263" spans="3:4">
      <c r="C2263" t="s">
        <v>3156</v>
      </c>
      <c r="D2263" t="str">
        <f t="shared" si="36"/>
        <v>KI7500300397,</v>
      </c>
    </row>
    <row r="2264" spans="3:4">
      <c r="C2264" t="s">
        <v>2860</v>
      </c>
      <c r="D2264" t="str">
        <f t="shared" si="36"/>
        <v>KI7508711196,</v>
      </c>
    </row>
    <row r="2265" spans="3:4">
      <c r="C2265" t="s">
        <v>2967</v>
      </c>
      <c r="D2265" t="str">
        <f t="shared" si="36"/>
        <v>KI7508712867,</v>
      </c>
    </row>
    <row r="2266" spans="3:4">
      <c r="C2266" t="s">
        <v>2875</v>
      </c>
      <c r="D2266" t="str">
        <f t="shared" si="36"/>
        <v>KI7508721556,</v>
      </c>
    </row>
    <row r="2267" spans="3:4">
      <c r="C2267" t="s">
        <v>2647</v>
      </c>
      <c r="D2267" t="str">
        <f t="shared" si="36"/>
        <v>KI7508723834,</v>
      </c>
    </row>
    <row r="2268" spans="3:4">
      <c r="C2268" t="s">
        <v>2653</v>
      </c>
      <c r="D2268" t="str">
        <f t="shared" si="36"/>
        <v>KI7500694086,</v>
      </c>
    </row>
    <row r="2269" spans="3:4">
      <c r="C2269" t="s">
        <v>2798</v>
      </c>
      <c r="D2269" t="str">
        <f t="shared" si="36"/>
        <v>KI7508646389,</v>
      </c>
    </row>
    <row r="2270" spans="3:4">
      <c r="C2270" t="s">
        <v>2833</v>
      </c>
      <c r="D2270" t="str">
        <f t="shared" si="36"/>
        <v>KI7500695048,</v>
      </c>
    </row>
    <row r="2271" spans="3:4">
      <c r="C2271" t="s">
        <v>2832</v>
      </c>
      <c r="D2271" t="str">
        <f t="shared" ref="D2271:D2334" si="37">""&amp;C2271&amp;","</f>
        <v>KI7500300253,</v>
      </c>
    </row>
    <row r="2272" spans="3:4">
      <c r="C2272" t="s">
        <v>3225</v>
      </c>
      <c r="D2272" t="str">
        <f t="shared" si="37"/>
        <v>KI7508592937,</v>
      </c>
    </row>
    <row r="2273" spans="3:4">
      <c r="C2273" t="s">
        <v>2870</v>
      </c>
      <c r="D2273" t="str">
        <f t="shared" si="37"/>
        <v>KI7508638693,</v>
      </c>
    </row>
    <row r="2274" spans="3:4">
      <c r="C2274" t="s">
        <v>2806</v>
      </c>
      <c r="D2274" t="str">
        <f t="shared" si="37"/>
        <v>KI7508674600,</v>
      </c>
    </row>
    <row r="2275" spans="3:4">
      <c r="C2275" t="s">
        <v>2872</v>
      </c>
      <c r="D2275" t="str">
        <f t="shared" si="37"/>
        <v>KI7508680204,</v>
      </c>
    </row>
    <row r="2276" spans="3:4">
      <c r="C2276" t="s">
        <v>2688</v>
      </c>
      <c r="D2276" t="str">
        <f t="shared" si="37"/>
        <v>KI7508707325,</v>
      </c>
    </row>
    <row r="2277" spans="3:4">
      <c r="C2277" t="s">
        <v>2254</v>
      </c>
      <c r="D2277" t="str">
        <f t="shared" si="37"/>
        <v>KI7508707326,</v>
      </c>
    </row>
    <row r="2278" spans="3:4">
      <c r="C2278" t="s">
        <v>2853</v>
      </c>
      <c r="D2278" t="str">
        <f t="shared" si="37"/>
        <v>KI7508710926,</v>
      </c>
    </row>
    <row r="2279" spans="3:4">
      <c r="C2279" t="s">
        <v>2819</v>
      </c>
      <c r="D2279" t="str">
        <f t="shared" si="37"/>
        <v>KI7508711436,</v>
      </c>
    </row>
    <row r="2280" spans="3:4">
      <c r="C2280" t="s">
        <v>2699</v>
      </c>
      <c r="D2280" t="str">
        <f t="shared" si="37"/>
        <v>KI7508646146,</v>
      </c>
    </row>
    <row r="2281" spans="3:4">
      <c r="C2281" t="s">
        <v>3203</v>
      </c>
      <c r="D2281" t="str">
        <f t="shared" si="37"/>
        <v>KI7508655741,</v>
      </c>
    </row>
    <row r="2282" spans="3:4">
      <c r="C2282" t="s">
        <v>2789</v>
      </c>
      <c r="D2282" t="str">
        <f t="shared" si="37"/>
        <v>KI7500695236,</v>
      </c>
    </row>
    <row r="2283" spans="3:4">
      <c r="C2283" t="s">
        <v>2607</v>
      </c>
      <c r="D2283" t="str">
        <f t="shared" si="37"/>
        <v>KI7508666536,</v>
      </c>
    </row>
    <row r="2284" spans="3:4">
      <c r="C2284" t="s">
        <v>1688</v>
      </c>
      <c r="D2284" t="str">
        <f t="shared" si="37"/>
        <v>KI7508678945,</v>
      </c>
    </row>
    <row r="2285" spans="3:4">
      <c r="C2285" t="s">
        <v>2777</v>
      </c>
      <c r="D2285" t="str">
        <f t="shared" si="37"/>
        <v>KI7508688342,</v>
      </c>
    </row>
    <row r="2286" spans="3:4">
      <c r="C2286" t="s">
        <v>3182</v>
      </c>
      <c r="D2286" t="str">
        <f t="shared" si="37"/>
        <v>KP7514167826,</v>
      </c>
    </row>
    <row r="2287" spans="3:4">
      <c r="C2287" t="s">
        <v>2883</v>
      </c>
      <c r="D2287" t="str">
        <f t="shared" si="37"/>
        <v>LE0060884903,</v>
      </c>
    </row>
    <row r="2288" spans="3:4">
      <c r="C2288" t="s">
        <v>2676</v>
      </c>
      <c r="D2288" t="str">
        <f t="shared" si="37"/>
        <v>LE0060894282,</v>
      </c>
    </row>
    <row r="2289" spans="3:4">
      <c r="C2289" t="s">
        <v>2820</v>
      </c>
      <c r="D2289" t="str">
        <f t="shared" si="37"/>
        <v>LE0060895199,</v>
      </c>
    </row>
    <row r="2290" spans="3:4">
      <c r="C2290" t="s">
        <v>1324</v>
      </c>
      <c r="D2290" t="str">
        <f t="shared" si="37"/>
        <v>LE9012141188,</v>
      </c>
    </row>
    <row r="2291" spans="3:4">
      <c r="C2291" t="s">
        <v>2719</v>
      </c>
      <c r="D2291" t="str">
        <f t="shared" si="37"/>
        <v>LE9012151665,</v>
      </c>
    </row>
    <row r="2292" spans="3:4">
      <c r="C2292" t="s">
        <v>2587</v>
      </c>
      <c r="D2292" t="str">
        <f t="shared" si="37"/>
        <v>LE9012163477,</v>
      </c>
    </row>
    <row r="2293" spans="3:4">
      <c r="C2293" t="s">
        <v>3101</v>
      </c>
      <c r="D2293" t="str">
        <f t="shared" si="37"/>
        <v>LE9012167630,</v>
      </c>
    </row>
    <row r="2294" spans="3:4">
      <c r="C2294" t="s">
        <v>1506</v>
      </c>
      <c r="D2294" t="str">
        <f t="shared" si="37"/>
        <v>LE9012167793,</v>
      </c>
    </row>
    <row r="2295" spans="3:4">
      <c r="C2295" t="s">
        <v>1436</v>
      </c>
      <c r="D2295" t="str">
        <f t="shared" si="37"/>
        <v>LE9012173355,</v>
      </c>
    </row>
    <row r="2296" spans="3:4">
      <c r="C2296" t="s">
        <v>2709</v>
      </c>
      <c r="D2296" t="str">
        <f t="shared" si="37"/>
        <v>LE9012173588,</v>
      </c>
    </row>
    <row r="2297" spans="3:4">
      <c r="C2297" t="s">
        <v>1473</v>
      </c>
      <c r="D2297" t="str">
        <f t="shared" si="37"/>
        <v>LE9012176000,</v>
      </c>
    </row>
    <row r="2298" spans="3:4">
      <c r="C2298" t="s">
        <v>1503</v>
      </c>
      <c r="D2298" t="str">
        <f t="shared" si="37"/>
        <v>LE9012178219,</v>
      </c>
    </row>
    <row r="2299" spans="3:4">
      <c r="C2299" t="s">
        <v>1886</v>
      </c>
      <c r="D2299" t="str">
        <f t="shared" si="37"/>
        <v>LE9012179523,</v>
      </c>
    </row>
    <row r="2300" spans="3:4">
      <c r="C2300" t="s">
        <v>1485</v>
      </c>
      <c r="D2300" t="str">
        <f t="shared" si="37"/>
        <v>LE9012179646,</v>
      </c>
    </row>
    <row r="2301" spans="3:4">
      <c r="C2301" t="s">
        <v>1461</v>
      </c>
      <c r="D2301" t="str">
        <f t="shared" si="37"/>
        <v>LE9012183787,</v>
      </c>
    </row>
    <row r="2302" spans="3:4">
      <c r="C2302" t="s">
        <v>1470</v>
      </c>
      <c r="D2302" t="str">
        <f t="shared" si="37"/>
        <v>LE9012181306,</v>
      </c>
    </row>
    <row r="2303" spans="3:4">
      <c r="C2303" t="s">
        <v>1474</v>
      </c>
      <c r="D2303" t="str">
        <f t="shared" si="37"/>
        <v>LE9012193836,</v>
      </c>
    </row>
    <row r="2304" spans="3:4">
      <c r="C2304" t="s">
        <v>1513</v>
      </c>
      <c r="D2304" t="str">
        <f t="shared" si="37"/>
        <v>LE9012194586,</v>
      </c>
    </row>
    <row r="2305" spans="3:4">
      <c r="C2305" t="s">
        <v>1532</v>
      </c>
      <c r="D2305" t="str">
        <f t="shared" si="37"/>
        <v>LE9012195540,</v>
      </c>
    </row>
    <row r="2306" spans="3:4">
      <c r="C2306" t="s">
        <v>1609</v>
      </c>
      <c r="D2306" t="str">
        <f t="shared" si="37"/>
        <v>LE9012196714,</v>
      </c>
    </row>
    <row r="2307" spans="3:4">
      <c r="C2307" t="s">
        <v>2793</v>
      </c>
      <c r="D2307" t="str">
        <f t="shared" si="37"/>
        <v>LE7507140904,</v>
      </c>
    </row>
    <row r="2308" spans="3:4">
      <c r="C2308" t="s">
        <v>2807</v>
      </c>
      <c r="D2308" t="str">
        <f t="shared" si="37"/>
        <v>LE7508301583,</v>
      </c>
    </row>
    <row r="2309" spans="3:4">
      <c r="C2309" t="s">
        <v>3248</v>
      </c>
      <c r="D2309" t="str">
        <f t="shared" si="37"/>
        <v>LE7508384665,</v>
      </c>
    </row>
    <row r="2310" spans="3:4">
      <c r="C2310" t="s">
        <v>2885</v>
      </c>
      <c r="D2310" t="str">
        <f t="shared" si="37"/>
        <v>LE7508437554,</v>
      </c>
    </row>
    <row r="2311" spans="3:4">
      <c r="C2311" t="s">
        <v>2596</v>
      </c>
      <c r="D2311" t="str">
        <f t="shared" si="37"/>
        <v>LE7508441725,</v>
      </c>
    </row>
    <row r="2312" spans="3:4">
      <c r="C2312" t="s">
        <v>2899</v>
      </c>
      <c r="D2312" t="str">
        <f t="shared" si="37"/>
        <v>LE7508458774,</v>
      </c>
    </row>
    <row r="2313" spans="3:4">
      <c r="C2313" t="s">
        <v>2835</v>
      </c>
      <c r="D2313" t="str">
        <f t="shared" si="37"/>
        <v>LE7501236409,</v>
      </c>
    </row>
    <row r="2314" spans="3:4">
      <c r="C2314" t="s">
        <v>2811</v>
      </c>
      <c r="D2314" t="str">
        <f t="shared" si="37"/>
        <v>LE7508464633,</v>
      </c>
    </row>
    <row r="2315" spans="3:4">
      <c r="C2315" t="s">
        <v>2703</v>
      </c>
      <c r="D2315" t="str">
        <f t="shared" si="37"/>
        <v>LE7508409275,</v>
      </c>
    </row>
    <row r="2316" spans="3:4">
      <c r="C2316" t="s">
        <v>1453</v>
      </c>
      <c r="D2316" t="str">
        <f t="shared" si="37"/>
        <v>LE7508427861,</v>
      </c>
    </row>
    <row r="2317" spans="3:4">
      <c r="C2317" t="s">
        <v>1438</v>
      </c>
      <c r="D2317" t="str">
        <f t="shared" si="37"/>
        <v>LE7508431147,</v>
      </c>
    </row>
    <row r="2318" spans="3:4">
      <c r="C2318" t="s">
        <v>2821</v>
      </c>
      <c r="D2318" t="str">
        <f t="shared" si="37"/>
        <v>LE7508441639,</v>
      </c>
    </row>
    <row r="2319" spans="3:4">
      <c r="C2319" t="s">
        <v>2878</v>
      </c>
      <c r="D2319" t="str">
        <f t="shared" si="37"/>
        <v>LE7508446726,</v>
      </c>
    </row>
    <row r="2320" spans="3:4">
      <c r="C2320" t="s">
        <v>1647</v>
      </c>
      <c r="D2320" t="str">
        <f t="shared" si="37"/>
        <v>LE7508447023,</v>
      </c>
    </row>
    <row r="2321" spans="3:4">
      <c r="C2321" t="s">
        <v>3184</v>
      </c>
      <c r="D2321" t="str">
        <f t="shared" si="37"/>
        <v>LE7508456165,</v>
      </c>
    </row>
    <row r="2322" spans="3:4">
      <c r="C2322" t="s">
        <v>2734</v>
      </c>
      <c r="D2322" t="str">
        <f t="shared" si="37"/>
        <v>LE7508473522,</v>
      </c>
    </row>
    <row r="2323" spans="3:4">
      <c r="C2323" t="s">
        <v>3125</v>
      </c>
      <c r="D2323" t="str">
        <f t="shared" si="37"/>
        <v>LE7508475380,</v>
      </c>
    </row>
    <row r="2324" spans="3:4">
      <c r="C2324" t="s">
        <v>2836</v>
      </c>
      <c r="D2324" t="str">
        <f t="shared" si="37"/>
        <v>LE7508475414,</v>
      </c>
    </row>
    <row r="2325" spans="3:4">
      <c r="C2325" t="s">
        <v>2876</v>
      </c>
      <c r="D2325" t="str">
        <f t="shared" si="37"/>
        <v>LE7508434433,</v>
      </c>
    </row>
    <row r="2326" spans="3:4">
      <c r="C2326" t="s">
        <v>2877</v>
      </c>
      <c r="D2326" t="str">
        <f t="shared" si="37"/>
        <v>LE7508441933,</v>
      </c>
    </row>
    <row r="2327" spans="3:4">
      <c r="C2327" t="s">
        <v>1607</v>
      </c>
      <c r="D2327" t="str">
        <f t="shared" si="37"/>
        <v>LE7508480825,</v>
      </c>
    </row>
    <row r="2328" spans="3:4">
      <c r="C2328" t="s">
        <v>2822</v>
      </c>
      <c r="D2328" t="str">
        <f t="shared" si="37"/>
        <v>LE7508445916,</v>
      </c>
    </row>
    <row r="2329" spans="3:4">
      <c r="C2329" t="s">
        <v>2884</v>
      </c>
      <c r="D2329" t="str">
        <f t="shared" si="37"/>
        <v>LE7501236213,</v>
      </c>
    </row>
    <row r="2330" spans="3:4">
      <c r="C2330" t="s">
        <v>3209</v>
      </c>
      <c r="D2330" t="str">
        <f t="shared" si="37"/>
        <v>LE7508463220,</v>
      </c>
    </row>
    <row r="2331" spans="3:4">
      <c r="C2331" t="s">
        <v>2253</v>
      </c>
      <c r="D2331" t="str">
        <f t="shared" si="37"/>
        <v>LE7508466466,</v>
      </c>
    </row>
    <row r="2332" spans="3:4">
      <c r="C2332" t="s">
        <v>3271</v>
      </c>
      <c r="D2332" t="str">
        <f t="shared" si="37"/>
        <v>LE7508466865,</v>
      </c>
    </row>
    <row r="2333" spans="3:4">
      <c r="C2333" t="s">
        <v>1605</v>
      </c>
      <c r="D2333" t="str">
        <f t="shared" si="37"/>
        <v>LE7508466872,</v>
      </c>
    </row>
    <row r="2334" spans="3:4">
      <c r="C2334" t="s">
        <v>3099</v>
      </c>
      <c r="D2334" t="str">
        <f t="shared" si="37"/>
        <v>LE7508334150,</v>
      </c>
    </row>
    <row r="2335" spans="3:4">
      <c r="C2335" t="s">
        <v>3183</v>
      </c>
      <c r="D2335" t="str">
        <f t="shared" ref="D2335:D2398" si="38">""&amp;C2335&amp;","</f>
        <v>LE7508381603,</v>
      </c>
    </row>
    <row r="2336" spans="3:4">
      <c r="C2336" t="s">
        <v>2810</v>
      </c>
      <c r="D2336" t="str">
        <f t="shared" si="38"/>
        <v>LE7508414669,</v>
      </c>
    </row>
    <row r="2337" spans="3:4">
      <c r="C2337" t="s">
        <v>3100</v>
      </c>
      <c r="D2337" t="str">
        <f t="shared" si="38"/>
        <v>LE7508418042,</v>
      </c>
    </row>
    <row r="2338" spans="3:4">
      <c r="C2338" t="s">
        <v>2794</v>
      </c>
      <c r="D2338" t="str">
        <f t="shared" si="38"/>
        <v>LE7508421962,</v>
      </c>
    </row>
    <row r="2339" spans="3:4">
      <c r="C2339" t="s">
        <v>1498</v>
      </c>
      <c r="D2339" t="str">
        <f t="shared" si="38"/>
        <v>LE7508426199,</v>
      </c>
    </row>
    <row r="2340" spans="3:4">
      <c r="C2340" t="s">
        <v>2639</v>
      </c>
      <c r="D2340" t="str">
        <f t="shared" si="38"/>
        <v>LE7508463285,</v>
      </c>
    </row>
    <row r="2341" spans="3:4">
      <c r="C2341" t="s">
        <v>2922</v>
      </c>
      <c r="D2341" t="str">
        <f t="shared" si="38"/>
        <v>DG9011769928,</v>
      </c>
    </row>
    <row r="2342" spans="3:4">
      <c r="C2342" t="s">
        <v>2405</v>
      </c>
      <c r="D2342" t="str">
        <f t="shared" si="38"/>
        <v>MM9011779282,</v>
      </c>
    </row>
    <row r="2343" spans="3:4">
      <c r="C2343" t="s">
        <v>2923</v>
      </c>
      <c r="D2343" t="str">
        <f t="shared" si="38"/>
        <v>DP7508559264,</v>
      </c>
    </row>
    <row r="2344" spans="3:4">
      <c r="C2344" t="s">
        <v>3252</v>
      </c>
      <c r="D2344" t="str">
        <f t="shared" si="38"/>
        <v>DP7508559000,</v>
      </c>
    </row>
    <row r="2345" spans="3:4">
      <c r="C2345" t="s">
        <v>3211</v>
      </c>
      <c r="D2345" t="str">
        <f t="shared" si="38"/>
        <v>MC7503291490,</v>
      </c>
    </row>
    <row r="2346" spans="3:4">
      <c r="C2346" t="s">
        <v>1692</v>
      </c>
      <c r="D2346" t="str">
        <f t="shared" si="38"/>
        <v>MC7503297718,</v>
      </c>
    </row>
    <row r="2347" spans="3:4">
      <c r="C2347" t="s">
        <v>3214</v>
      </c>
      <c r="D2347" t="str">
        <f t="shared" si="38"/>
        <v>MX7512741304,</v>
      </c>
    </row>
    <row r="2348" spans="3:4">
      <c r="C2348" t="s">
        <v>2995</v>
      </c>
      <c r="D2348" t="str">
        <f t="shared" si="38"/>
        <v>NW7514321280,</v>
      </c>
    </row>
    <row r="2349" spans="3:4">
      <c r="C2349" t="s">
        <v>1424</v>
      </c>
      <c r="D2349" t="str">
        <f t="shared" si="38"/>
        <v>PW7513550853,</v>
      </c>
    </row>
    <row r="2350" spans="3:4">
      <c r="C2350" t="s">
        <v>2990</v>
      </c>
      <c r="D2350" t="str">
        <f t="shared" si="38"/>
        <v>BA7507939183,</v>
      </c>
    </row>
    <row r="2351" spans="3:4">
      <c r="C2351" t="s">
        <v>3192</v>
      </c>
      <c r="D2351" t="str">
        <f t="shared" si="38"/>
        <v>RW7507285200,</v>
      </c>
    </row>
    <row r="2352" spans="3:4">
      <c r="C2352" t="s">
        <v>3103</v>
      </c>
      <c r="D2352" t="str">
        <f t="shared" si="38"/>
        <v>RW7507283038,</v>
      </c>
    </row>
    <row r="2353" spans="3:4">
      <c r="C2353" t="s">
        <v>3090</v>
      </c>
      <c r="D2353" t="str">
        <f t="shared" si="38"/>
        <v>SW0060293364,</v>
      </c>
    </row>
    <row r="2354" spans="3:4">
      <c r="C2354" t="s">
        <v>3256</v>
      </c>
      <c r="D2354" t="str">
        <f t="shared" si="38"/>
        <v>SA7514136980,</v>
      </c>
    </row>
    <row r="2355" spans="3:4">
      <c r="C2355" t="s">
        <v>2996</v>
      </c>
      <c r="D2355" t="str">
        <f t="shared" si="38"/>
        <v>SA7514141354,</v>
      </c>
    </row>
    <row r="2356" spans="3:4">
      <c r="C2356" t="s">
        <v>2037</v>
      </c>
      <c r="D2356" t="str">
        <f t="shared" si="38"/>
        <v>SD7507949082,</v>
      </c>
    </row>
    <row r="2357" spans="3:4">
      <c r="C2357" t="s">
        <v>2988</v>
      </c>
      <c r="D2357" t="str">
        <f t="shared" si="38"/>
        <v>SP7514180401,</v>
      </c>
    </row>
    <row r="2358" spans="3:4">
      <c r="C2358" t="s">
        <v>3172</v>
      </c>
      <c r="D2358" t="str">
        <f t="shared" si="38"/>
        <v>SP7514181295,</v>
      </c>
    </row>
    <row r="2359" spans="3:4">
      <c r="C2359" t="s">
        <v>3217</v>
      </c>
      <c r="D2359" t="str">
        <f t="shared" si="38"/>
        <v>SL9011794264,</v>
      </c>
    </row>
    <row r="2360" spans="3:4">
      <c r="C2360" t="s">
        <v>1541</v>
      </c>
      <c r="D2360" t="str">
        <f t="shared" si="38"/>
        <v>VR7503500141,</v>
      </c>
    </row>
    <row r="2361" spans="3:4">
      <c r="C2361" t="s">
        <v>2915</v>
      </c>
      <c r="D2361" t="str">
        <f t="shared" si="38"/>
        <v>VR7503500236,</v>
      </c>
    </row>
    <row r="2362" spans="3:4">
      <c r="C2362" t="s">
        <v>1927</v>
      </c>
      <c r="D2362" t="str">
        <f t="shared" si="38"/>
        <v>WZ7504152093,</v>
      </c>
    </row>
    <row r="2363" spans="3:4">
      <c r="C2363" t="s">
        <v>1466</v>
      </c>
      <c r="D2363" t="str">
        <f t="shared" si="38"/>
        <v>ID9012198315,</v>
      </c>
    </row>
    <row r="2364" spans="3:4">
      <c r="C2364" t="s">
        <v>1679</v>
      </c>
      <c r="D2364" t="str">
        <f t="shared" si="38"/>
        <v>KI9012180024,</v>
      </c>
    </row>
    <row r="2365" spans="3:4">
      <c r="C2365" t="s">
        <v>1631</v>
      </c>
      <c r="D2365" t="str">
        <f t="shared" si="38"/>
        <v>KI9012002391,</v>
      </c>
    </row>
    <row r="2366" spans="3:4">
      <c r="C2366" t="s">
        <v>3967</v>
      </c>
      <c r="D2366" t="str">
        <f t="shared" si="38"/>
        <v>KI7509761504,</v>
      </c>
    </row>
    <row r="2367" spans="3:4">
      <c r="C2367" t="s">
        <v>3905</v>
      </c>
      <c r="D2367" t="str">
        <f t="shared" si="38"/>
        <v>KI7508647245,</v>
      </c>
    </row>
    <row r="2368" spans="3:4">
      <c r="C2368" t="s">
        <v>3906</v>
      </c>
      <c r="D2368" t="str">
        <f t="shared" si="38"/>
        <v>KI7508648615,</v>
      </c>
    </row>
    <row r="2369" spans="3:4">
      <c r="C2369" t="s">
        <v>3907</v>
      </c>
      <c r="D2369" t="str">
        <f t="shared" si="38"/>
        <v>KI7508667689,</v>
      </c>
    </row>
    <row r="2370" spans="3:4">
      <c r="C2370" t="s">
        <v>3909</v>
      </c>
      <c r="D2370" t="str">
        <f t="shared" si="38"/>
        <v>KI7508692864,</v>
      </c>
    </row>
    <row r="2371" spans="3:4">
      <c r="C2371" t="s">
        <v>3911</v>
      </c>
      <c r="D2371" t="str">
        <f t="shared" si="38"/>
        <v>KI7508732855,</v>
      </c>
    </row>
    <row r="2372" spans="3:4">
      <c r="C2372" t="s">
        <v>3812</v>
      </c>
      <c r="D2372" t="str">
        <f t="shared" si="38"/>
        <v>FS7512072617,</v>
      </c>
    </row>
    <row r="2373" spans="3:4">
      <c r="C2373" t="s">
        <v>3908</v>
      </c>
      <c r="D2373" t="str">
        <f t="shared" si="38"/>
        <v>KI7508668775,</v>
      </c>
    </row>
    <row r="2374" spans="3:4">
      <c r="C2374" t="s">
        <v>3910</v>
      </c>
      <c r="D2374" t="str">
        <f t="shared" si="38"/>
        <v>KI7508708225,</v>
      </c>
    </row>
    <row r="2375" spans="3:4">
      <c r="C2375" t="s">
        <v>3813</v>
      </c>
      <c r="D2375" t="str">
        <f t="shared" si="38"/>
        <v>FS7512073697,</v>
      </c>
    </row>
    <row r="2376" spans="3:4">
      <c r="C2376" t="s">
        <v>1437</v>
      </c>
      <c r="D2376" t="str">
        <f t="shared" si="38"/>
        <v>FS7512063463,</v>
      </c>
    </row>
    <row r="2377" spans="3:4">
      <c r="C2377" t="s">
        <v>3811</v>
      </c>
      <c r="D2377" t="str">
        <f t="shared" si="38"/>
        <v>FS7512043359,</v>
      </c>
    </row>
    <row r="2378" spans="3:4">
      <c r="C2378" t="s">
        <v>3983</v>
      </c>
      <c r="D2378" t="str">
        <f t="shared" si="38"/>
        <v>LE7508405357,</v>
      </c>
    </row>
    <row r="2379" spans="3:4">
      <c r="C2379" t="s">
        <v>1465</v>
      </c>
      <c r="D2379" t="str">
        <f t="shared" si="38"/>
        <v>LE7508422886,</v>
      </c>
    </row>
    <row r="2380" spans="3:4">
      <c r="C2380" t="s">
        <v>3985</v>
      </c>
      <c r="D2380" t="str">
        <f t="shared" si="38"/>
        <v>LE7508418396,</v>
      </c>
    </row>
    <row r="2381" spans="3:4">
      <c r="C2381" t="s">
        <v>1351</v>
      </c>
      <c r="D2381" t="str">
        <f t="shared" si="38"/>
        <v>MX9012169194,</v>
      </c>
    </row>
    <row r="2382" spans="3:4">
      <c r="C2382" t="s">
        <v>4080</v>
      </c>
      <c r="D2382" t="str">
        <f t="shared" si="38"/>
        <v>PW7502658432,</v>
      </c>
    </row>
    <row r="2383" spans="3:4">
      <c r="C2383" t="s">
        <v>4100</v>
      </c>
      <c r="D2383" t="str">
        <f t="shared" si="38"/>
        <v>RW7507289570,</v>
      </c>
    </row>
    <row r="2384" spans="3:4">
      <c r="C2384" t="s">
        <v>4099</v>
      </c>
      <c r="D2384" t="str">
        <f t="shared" si="38"/>
        <v>RW7507287997,</v>
      </c>
    </row>
    <row r="2385" spans="3:4">
      <c r="C2385" t="s">
        <v>4140</v>
      </c>
      <c r="D2385" t="str">
        <f t="shared" si="38"/>
        <v>SP7514182873,</v>
      </c>
    </row>
    <row r="2386" spans="3:4">
      <c r="C2386" t="s">
        <v>4148</v>
      </c>
      <c r="D2386" t="str">
        <f t="shared" si="38"/>
        <v>WC9011779907,</v>
      </c>
    </row>
    <row r="2387" spans="3:4">
      <c r="C2387" t="s">
        <v>4228</v>
      </c>
      <c r="D2387" t="str">
        <f t="shared" si="38"/>
        <v>AT7504325853,</v>
      </c>
    </row>
    <row r="2388" spans="3:4">
      <c r="C2388" t="s">
        <v>4229</v>
      </c>
      <c r="D2388" t="str">
        <f t="shared" si="38"/>
        <v>AT7504325959,</v>
      </c>
    </row>
    <row r="2389" spans="3:4">
      <c r="C2389" t="s">
        <v>4230</v>
      </c>
      <c r="D2389" t="str">
        <f t="shared" si="38"/>
        <v>AT7504326174,</v>
      </c>
    </row>
    <row r="2390" spans="3:4">
      <c r="C2390" t="s">
        <v>4231</v>
      </c>
      <c r="D2390" t="str">
        <f t="shared" si="38"/>
        <v>FS7512177967,</v>
      </c>
    </row>
    <row r="2391" spans="3:4">
      <c r="C2391" t="s">
        <v>4232</v>
      </c>
      <c r="D2391" t="str">
        <f t="shared" si="38"/>
        <v>LE7510116780,</v>
      </c>
    </row>
    <row r="2392" spans="3:4">
      <c r="C2392" t="s">
        <v>4233</v>
      </c>
      <c r="D2392" t="str">
        <f t="shared" si="38"/>
        <v>PW7513561172,</v>
      </c>
    </row>
    <row r="2393" spans="3:4">
      <c r="C2393" t="s">
        <v>4234</v>
      </c>
      <c r="D2393" t="str">
        <f t="shared" si="38"/>
        <v>FS7512382491,</v>
      </c>
    </row>
    <row r="2394" spans="3:4">
      <c r="C2394" t="s">
        <v>4235</v>
      </c>
      <c r="D2394" t="str">
        <f t="shared" si="38"/>
        <v>FS7512112104,</v>
      </c>
    </row>
    <row r="2395" spans="3:4">
      <c r="C2395" t="s">
        <v>3525</v>
      </c>
      <c r="D2395" t="str">
        <f t="shared" si="38"/>
        <v>BR7502732394,</v>
      </c>
    </row>
    <row r="2396" spans="3:4">
      <c r="C2396" t="s">
        <v>2283</v>
      </c>
      <c r="D2396" t="str">
        <f t="shared" si="38"/>
        <v>WC7506798652,</v>
      </c>
    </row>
    <row r="2397" spans="3:4">
      <c r="C2397" t="s">
        <v>3386</v>
      </c>
      <c r="D2397" t="str">
        <f t="shared" si="38"/>
        <v>TH9011809492,</v>
      </c>
    </row>
    <row r="2398" spans="3:4">
      <c r="C2398" t="s">
        <v>3417</v>
      </c>
      <c r="D2398" t="str">
        <f t="shared" si="38"/>
        <v>SL7508019484,</v>
      </c>
    </row>
    <row r="2399" spans="3:4">
      <c r="C2399" t="s">
        <v>3415</v>
      </c>
      <c r="D2399" t="str">
        <f t="shared" ref="D2399:D2462" si="39">""&amp;C2399&amp;","</f>
        <v>SL7508019491,</v>
      </c>
    </row>
    <row r="2400" spans="3:4">
      <c r="C2400" t="s">
        <v>3587</v>
      </c>
      <c r="D2400" t="str">
        <f t="shared" si="39"/>
        <v>SL7507531443,</v>
      </c>
    </row>
    <row r="2401" spans="3:4">
      <c r="C2401" t="s">
        <v>2266</v>
      </c>
      <c r="D2401" t="str">
        <f t="shared" si="39"/>
        <v>SL7507529894,</v>
      </c>
    </row>
    <row r="2402" spans="3:4">
      <c r="C2402" t="s">
        <v>4236</v>
      </c>
      <c r="D2402" t="str">
        <f t="shared" si="39"/>
        <v>FS7512129742,</v>
      </c>
    </row>
    <row r="2403" spans="3:4">
      <c r="C2403" t="s">
        <v>3636</v>
      </c>
      <c r="D2403" t="str">
        <f t="shared" si="39"/>
        <v>SP7515051999,</v>
      </c>
    </row>
    <row r="2404" spans="3:4">
      <c r="C2404" t="s">
        <v>3548</v>
      </c>
      <c r="D2404" t="str">
        <f t="shared" si="39"/>
        <v>SP7515051342,</v>
      </c>
    </row>
    <row r="2405" spans="3:4">
      <c r="C2405" t="s">
        <v>3642</v>
      </c>
      <c r="D2405" t="str">
        <f t="shared" si="39"/>
        <v>SA7515162093,</v>
      </c>
    </row>
    <row r="2406" spans="3:4">
      <c r="C2406" t="s">
        <v>3586</v>
      </c>
      <c r="D2406" t="str">
        <f t="shared" si="39"/>
        <v>SA7514082102,</v>
      </c>
    </row>
    <row r="2407" spans="3:4">
      <c r="C2407" t="s">
        <v>3585</v>
      </c>
      <c r="D2407" t="str">
        <f t="shared" si="39"/>
        <v>SA7514081572,</v>
      </c>
    </row>
    <row r="2408" spans="3:4">
      <c r="C2408" t="s">
        <v>3640</v>
      </c>
      <c r="D2408" t="str">
        <f t="shared" si="39"/>
        <v>SA7515162316,</v>
      </c>
    </row>
    <row r="2409" spans="3:4">
      <c r="C2409" t="s">
        <v>3589</v>
      </c>
      <c r="D2409" t="str">
        <f t="shared" si="39"/>
        <v>SA7515160700,</v>
      </c>
    </row>
    <row r="2410" spans="3:4">
      <c r="C2410" t="s">
        <v>3424</v>
      </c>
      <c r="D2410" t="str">
        <f t="shared" si="39"/>
        <v>SA7514081853,</v>
      </c>
    </row>
    <row r="2411" spans="3:4">
      <c r="C2411" t="s">
        <v>3588</v>
      </c>
      <c r="D2411" t="str">
        <f t="shared" si="39"/>
        <v>SA7514081832,</v>
      </c>
    </row>
    <row r="2412" spans="3:4">
      <c r="C2412" t="s">
        <v>3523</v>
      </c>
      <c r="D2412" t="str">
        <f t="shared" si="39"/>
        <v>BA7507942240,</v>
      </c>
    </row>
    <row r="2413" spans="3:4">
      <c r="C2413" t="s">
        <v>3522</v>
      </c>
      <c r="D2413" t="str">
        <f t="shared" si="39"/>
        <v>BA7507942693,</v>
      </c>
    </row>
    <row r="2414" spans="3:4">
      <c r="C2414" t="s">
        <v>3447</v>
      </c>
      <c r="D2414" t="str">
        <f t="shared" si="39"/>
        <v>RW7515007039,</v>
      </c>
    </row>
    <row r="2415" spans="3:4">
      <c r="C2415" t="s">
        <v>4237</v>
      </c>
      <c r="D2415" t="str">
        <f t="shared" si="39"/>
        <v>RR7503682244,</v>
      </c>
    </row>
    <row r="2416" spans="3:4">
      <c r="C2416" t="s">
        <v>2269</v>
      </c>
      <c r="D2416" t="str">
        <f t="shared" si="39"/>
        <v>RW7515004093,</v>
      </c>
    </row>
    <row r="2417" spans="3:4">
      <c r="C2417" t="s">
        <v>4238</v>
      </c>
      <c r="D2417" t="str">
        <f t="shared" si="39"/>
        <v>HD9012031077,</v>
      </c>
    </row>
    <row r="2418" spans="3:4">
      <c r="C2418" t="s">
        <v>3455</v>
      </c>
      <c r="D2418" t="str">
        <f t="shared" si="39"/>
        <v>RW7515002026,</v>
      </c>
    </row>
    <row r="2419" spans="3:4">
      <c r="C2419" t="s">
        <v>2265</v>
      </c>
      <c r="D2419" t="str">
        <f t="shared" si="39"/>
        <v>RW0060943372,</v>
      </c>
    </row>
    <row r="2420" spans="3:4">
      <c r="C2420" t="s">
        <v>3565</v>
      </c>
      <c r="D2420" t="str">
        <f t="shared" si="39"/>
        <v>CD7503607608,</v>
      </c>
    </row>
    <row r="2421" spans="3:4">
      <c r="C2421" t="s">
        <v>3560</v>
      </c>
      <c r="D2421" t="str">
        <f t="shared" si="39"/>
        <v>CD7503607621,</v>
      </c>
    </row>
    <row r="2422" spans="3:4">
      <c r="C2422" t="s">
        <v>3553</v>
      </c>
      <c r="D2422" t="str">
        <f t="shared" si="39"/>
        <v>RN9012081155,</v>
      </c>
    </row>
    <row r="2423" spans="3:4">
      <c r="C2423" t="s">
        <v>3554</v>
      </c>
      <c r="D2423" t="str">
        <f t="shared" si="39"/>
        <v>RN9012080407,</v>
      </c>
    </row>
    <row r="2424" spans="3:4">
      <c r="C2424" t="s">
        <v>3536</v>
      </c>
      <c r="D2424" t="str">
        <f t="shared" si="39"/>
        <v>PW7513565356,</v>
      </c>
    </row>
    <row r="2425" spans="3:4">
      <c r="C2425" t="s">
        <v>2281</v>
      </c>
      <c r="D2425" t="str">
        <f t="shared" si="39"/>
        <v>PW7513563817,</v>
      </c>
    </row>
    <row r="2426" spans="3:4">
      <c r="C2426" t="s">
        <v>3535</v>
      </c>
      <c r="D2426" t="str">
        <f t="shared" si="39"/>
        <v>PW9012090189,</v>
      </c>
    </row>
    <row r="2427" spans="3:4">
      <c r="C2427" t="s">
        <v>3664</v>
      </c>
      <c r="D2427" t="str">
        <f t="shared" si="39"/>
        <v>PR7506960303,</v>
      </c>
    </row>
    <row r="2428" spans="3:4">
      <c r="C2428" t="s">
        <v>3661</v>
      </c>
      <c r="D2428" t="str">
        <f t="shared" si="39"/>
        <v>OK7514475339,</v>
      </c>
    </row>
    <row r="2429" spans="3:4">
      <c r="C2429" t="s">
        <v>4239</v>
      </c>
      <c r="D2429" t="str">
        <f t="shared" si="39"/>
        <v>HD7514718857,</v>
      </c>
    </row>
    <row r="2430" spans="3:4">
      <c r="C2430" t="s">
        <v>3571</v>
      </c>
      <c r="D2430" t="str">
        <f t="shared" si="39"/>
        <v>OK7514474099,</v>
      </c>
    </row>
    <row r="2431" spans="3:4">
      <c r="C2431" t="s">
        <v>3570</v>
      </c>
      <c r="D2431" t="str">
        <f t="shared" si="39"/>
        <v>OK7514369496,</v>
      </c>
    </row>
    <row r="2432" spans="3:4">
      <c r="C2432" t="s">
        <v>3638</v>
      </c>
      <c r="D2432" t="str">
        <f t="shared" si="39"/>
        <v>MG7514817548,</v>
      </c>
    </row>
    <row r="2433" spans="3:4">
      <c r="C2433" t="s">
        <v>3618</v>
      </c>
      <c r="D2433" t="str">
        <f t="shared" si="39"/>
        <v>MX7512771479,</v>
      </c>
    </row>
    <row r="2434" spans="3:4">
      <c r="C2434" t="s">
        <v>2261</v>
      </c>
      <c r="D2434" t="str">
        <f t="shared" si="39"/>
        <v>MX7512768284,</v>
      </c>
    </row>
    <row r="2435" spans="3:4">
      <c r="C2435" t="s">
        <v>3617</v>
      </c>
      <c r="D2435" t="str">
        <f t="shared" si="39"/>
        <v>MX7512771057,</v>
      </c>
    </row>
    <row r="2436" spans="3:4">
      <c r="C2436" t="s">
        <v>3645</v>
      </c>
      <c r="D2436" t="str">
        <f t="shared" si="39"/>
        <v>MX7512769959,</v>
      </c>
    </row>
    <row r="2437" spans="3:4">
      <c r="C2437" t="s">
        <v>3603</v>
      </c>
      <c r="D2437" t="str">
        <f t="shared" si="39"/>
        <v>MX7512768708,</v>
      </c>
    </row>
    <row r="2438" spans="3:4">
      <c r="C2438" t="s">
        <v>3619</v>
      </c>
      <c r="D2438" t="str">
        <f t="shared" si="39"/>
        <v>MX9012058827,</v>
      </c>
    </row>
    <row r="2439" spans="3:4">
      <c r="C2439" t="s">
        <v>2274</v>
      </c>
      <c r="D2439" t="str">
        <f t="shared" si="39"/>
        <v>MC7503298582,</v>
      </c>
    </row>
    <row r="2440" spans="3:4">
      <c r="C2440" t="s">
        <v>4240</v>
      </c>
      <c r="D2440" t="str">
        <f t="shared" si="39"/>
        <v>JG7503726896,</v>
      </c>
    </row>
    <row r="2441" spans="3:4">
      <c r="C2441" t="s">
        <v>2262</v>
      </c>
      <c r="D2441" t="str">
        <f t="shared" si="39"/>
        <v>MN7513092071,</v>
      </c>
    </row>
    <row r="2442" spans="3:4">
      <c r="C2442" t="s">
        <v>4241</v>
      </c>
      <c r="D2442" t="str">
        <f t="shared" si="39"/>
        <v>AM7513838478,</v>
      </c>
    </row>
    <row r="2443" spans="3:4">
      <c r="C2443" t="s">
        <v>3615</v>
      </c>
      <c r="D2443" t="str">
        <f t="shared" si="39"/>
        <v>MM9011942703,</v>
      </c>
    </row>
    <row r="2444" spans="3:4">
      <c r="C2444" t="s">
        <v>3613</v>
      </c>
      <c r="D2444" t="str">
        <f t="shared" si="39"/>
        <v>MM9011938379,</v>
      </c>
    </row>
    <row r="2445" spans="3:4">
      <c r="C2445" t="s">
        <v>4242</v>
      </c>
      <c r="D2445" t="str">
        <f t="shared" si="39"/>
        <v>KI9012046625,</v>
      </c>
    </row>
    <row r="2446" spans="3:4">
      <c r="C2446" t="s">
        <v>3626</v>
      </c>
      <c r="D2446" t="str">
        <f t="shared" si="39"/>
        <v>MM9011809383,</v>
      </c>
    </row>
    <row r="2447" spans="3:4">
      <c r="C2447" t="s">
        <v>3627</v>
      </c>
      <c r="D2447" t="str">
        <f t="shared" si="39"/>
        <v>MM9011808132,</v>
      </c>
    </row>
    <row r="2448" spans="3:4">
      <c r="C2448" t="s">
        <v>4243</v>
      </c>
      <c r="D2448" t="str">
        <f t="shared" si="39"/>
        <v>KI7508809143,</v>
      </c>
    </row>
    <row r="2449" spans="3:4">
      <c r="C2449" t="s">
        <v>3444</v>
      </c>
      <c r="D2449" t="str">
        <f t="shared" si="39"/>
        <v>LQ7504019921,</v>
      </c>
    </row>
    <row r="2450" spans="3:4">
      <c r="C2450" t="s">
        <v>3543</v>
      </c>
      <c r="D2450" t="str">
        <f t="shared" si="39"/>
        <v>FS9012057485,</v>
      </c>
    </row>
    <row r="2451" spans="3:4">
      <c r="C2451" t="s">
        <v>3538</v>
      </c>
      <c r="D2451" t="str">
        <f t="shared" si="39"/>
        <v>FS9012063417,</v>
      </c>
    </row>
    <row r="2452" spans="3:4">
      <c r="C2452" t="s">
        <v>3623</v>
      </c>
      <c r="D2452" t="str">
        <f t="shared" si="39"/>
        <v>FS9012070574,</v>
      </c>
    </row>
    <row r="2453" spans="3:4">
      <c r="C2453" t="s">
        <v>3545</v>
      </c>
      <c r="D2453" t="str">
        <f t="shared" si="39"/>
        <v>FS9012076280,</v>
      </c>
    </row>
    <row r="2454" spans="3:4">
      <c r="C2454" t="s">
        <v>3544</v>
      </c>
      <c r="D2454" t="str">
        <f t="shared" si="39"/>
        <v>FS9012078184,</v>
      </c>
    </row>
    <row r="2455" spans="3:4">
      <c r="C2455" t="s">
        <v>3542</v>
      </c>
      <c r="D2455" t="str">
        <f t="shared" si="39"/>
        <v>FS9012080668,</v>
      </c>
    </row>
    <row r="2456" spans="3:4">
      <c r="C2456" t="s">
        <v>3620</v>
      </c>
      <c r="D2456" t="str">
        <f t="shared" si="39"/>
        <v>FS9012083597,</v>
      </c>
    </row>
    <row r="2457" spans="3:4">
      <c r="C2457" t="s">
        <v>3621</v>
      </c>
      <c r="D2457" t="str">
        <f t="shared" si="39"/>
        <v>FS7512199285,</v>
      </c>
    </row>
    <row r="2458" spans="3:4">
      <c r="C2458" t="s">
        <v>3635</v>
      </c>
      <c r="D2458" t="str">
        <f t="shared" si="39"/>
        <v>FS7512200005,</v>
      </c>
    </row>
    <row r="2459" spans="3:4">
      <c r="C2459" t="s">
        <v>3599</v>
      </c>
      <c r="D2459" t="str">
        <f t="shared" si="39"/>
        <v>FS7512395048,</v>
      </c>
    </row>
    <row r="2460" spans="3:4">
      <c r="C2460" t="s">
        <v>3580</v>
      </c>
      <c r="D2460" t="str">
        <f t="shared" si="39"/>
        <v>FS7512395008,</v>
      </c>
    </row>
    <row r="2461" spans="3:4">
      <c r="C2461" t="s">
        <v>3578</v>
      </c>
      <c r="D2461" t="str">
        <f t="shared" si="39"/>
        <v>FS7512396587,</v>
      </c>
    </row>
    <row r="2462" spans="3:4">
      <c r="C2462" t="s">
        <v>3579</v>
      </c>
      <c r="D2462" t="str">
        <f t="shared" si="39"/>
        <v>FS7512396754,</v>
      </c>
    </row>
    <row r="2463" spans="3:4">
      <c r="C2463" t="s">
        <v>2260</v>
      </c>
      <c r="D2463" t="str">
        <f t="shared" ref="D2463:D2526" si="40">""&amp;C2463&amp;","</f>
        <v>FS7512185287,</v>
      </c>
    </row>
    <row r="2464" spans="3:4">
      <c r="C2464" t="s">
        <v>3546</v>
      </c>
      <c r="D2464" t="str">
        <f t="shared" si="40"/>
        <v>FS7512201036,</v>
      </c>
    </row>
    <row r="2465" spans="3:4">
      <c r="C2465" t="s">
        <v>3622</v>
      </c>
      <c r="D2465" t="str">
        <f t="shared" si="40"/>
        <v>FS7512203614,</v>
      </c>
    </row>
    <row r="2466" spans="3:4">
      <c r="C2466" t="s">
        <v>3596</v>
      </c>
      <c r="D2466" t="str">
        <f t="shared" si="40"/>
        <v>FS7512211721,</v>
      </c>
    </row>
    <row r="2467" spans="3:4">
      <c r="C2467" t="s">
        <v>3595</v>
      </c>
      <c r="D2467" t="str">
        <f t="shared" si="40"/>
        <v>FS7512219514,</v>
      </c>
    </row>
    <row r="2468" spans="3:4">
      <c r="C2468" t="s">
        <v>3597</v>
      </c>
      <c r="D2468" t="str">
        <f t="shared" si="40"/>
        <v>FS7512220768,</v>
      </c>
    </row>
    <row r="2469" spans="3:4">
      <c r="C2469" t="s">
        <v>4244</v>
      </c>
      <c r="D2469" t="str">
        <f t="shared" si="40"/>
        <v>KP7514169602,</v>
      </c>
    </row>
    <row r="2470" spans="3:4">
      <c r="C2470" t="s">
        <v>3574</v>
      </c>
      <c r="D2470" t="str">
        <f t="shared" si="40"/>
        <v>FS7512222955,</v>
      </c>
    </row>
    <row r="2471" spans="3:4">
      <c r="C2471" t="s">
        <v>3577</v>
      </c>
      <c r="D2471" t="str">
        <f t="shared" si="40"/>
        <v>FS7512223686,</v>
      </c>
    </row>
    <row r="2472" spans="3:4">
      <c r="C2472" t="s">
        <v>3634</v>
      </c>
      <c r="D2472" t="str">
        <f t="shared" si="40"/>
        <v>FS7512223874,</v>
      </c>
    </row>
    <row r="2473" spans="3:4">
      <c r="C2473" t="s">
        <v>3598</v>
      </c>
      <c r="D2473" t="str">
        <f t="shared" si="40"/>
        <v>FS7512223923,</v>
      </c>
    </row>
    <row r="2474" spans="3:4">
      <c r="C2474" t="s">
        <v>2287</v>
      </c>
      <c r="D2474" t="str">
        <f t="shared" si="40"/>
        <v>FS7512157406,</v>
      </c>
    </row>
    <row r="2475" spans="3:4">
      <c r="C2475" t="s">
        <v>3539</v>
      </c>
      <c r="D2475" t="str">
        <f t="shared" si="40"/>
        <v>FS7512206201,</v>
      </c>
    </row>
    <row r="2476" spans="3:4">
      <c r="C2476" t="s">
        <v>3576</v>
      </c>
      <c r="D2476" t="str">
        <f t="shared" si="40"/>
        <v>FS7512219512,</v>
      </c>
    </row>
    <row r="2477" spans="3:4">
      <c r="C2477" t="s">
        <v>3540</v>
      </c>
      <c r="D2477" t="str">
        <f t="shared" si="40"/>
        <v>FS7512178085,</v>
      </c>
    </row>
    <row r="2478" spans="3:4">
      <c r="C2478" t="s">
        <v>3541</v>
      </c>
      <c r="D2478" t="str">
        <f t="shared" si="40"/>
        <v>FS7512193628,</v>
      </c>
    </row>
    <row r="2479" spans="3:4">
      <c r="C2479" t="s">
        <v>4245</v>
      </c>
      <c r="D2479" t="str">
        <f t="shared" si="40"/>
        <v>LE0060897475,</v>
      </c>
    </row>
    <row r="2480" spans="3:4">
      <c r="C2480" t="s">
        <v>3637</v>
      </c>
      <c r="D2480" t="str">
        <f t="shared" si="40"/>
        <v>FS7512219965,</v>
      </c>
    </row>
    <row r="2481" spans="3:4">
      <c r="C2481" t="s">
        <v>3656</v>
      </c>
      <c r="D2481" t="str">
        <f t="shared" si="40"/>
        <v>LE7510208783,</v>
      </c>
    </row>
    <row r="2482" spans="3:4">
      <c r="C2482" t="s">
        <v>3453</v>
      </c>
      <c r="D2482" t="str">
        <f t="shared" si="40"/>
        <v>LE7510187835,</v>
      </c>
    </row>
    <row r="2483" spans="3:4">
      <c r="C2483" t="s">
        <v>3459</v>
      </c>
      <c r="D2483" t="str">
        <f t="shared" si="40"/>
        <v>LE7510184968,</v>
      </c>
    </row>
    <row r="2484" spans="3:4">
      <c r="C2484" t="s">
        <v>3419</v>
      </c>
      <c r="D2484" t="str">
        <f t="shared" si="40"/>
        <v>LE7510175303,</v>
      </c>
    </row>
    <row r="2485" spans="3:4">
      <c r="C2485" t="s">
        <v>3420</v>
      </c>
      <c r="D2485" t="str">
        <f t="shared" si="40"/>
        <v>LE7510182206,</v>
      </c>
    </row>
    <row r="2486" spans="3:4">
      <c r="C2486" t="s">
        <v>3408</v>
      </c>
      <c r="D2486" t="str">
        <f t="shared" si="40"/>
        <v>LE7510193940,</v>
      </c>
    </row>
    <row r="2487" spans="3:4">
      <c r="C2487" t="s">
        <v>3666</v>
      </c>
      <c r="D2487" t="str">
        <f t="shared" si="40"/>
        <v>LE7510195848,</v>
      </c>
    </row>
    <row r="2488" spans="3:4">
      <c r="C2488" t="s">
        <v>3653</v>
      </c>
      <c r="D2488" t="str">
        <f t="shared" si="40"/>
        <v>LE7510204194,</v>
      </c>
    </row>
    <row r="2489" spans="3:4">
      <c r="C2489" t="s">
        <v>3649</v>
      </c>
      <c r="D2489" t="str">
        <f t="shared" si="40"/>
        <v>LE7510202622,</v>
      </c>
    </row>
    <row r="2490" spans="3:4">
      <c r="C2490" t="s">
        <v>3657</v>
      </c>
      <c r="D2490" t="str">
        <f t="shared" si="40"/>
        <v>LE7510200457,</v>
      </c>
    </row>
    <row r="2491" spans="3:4">
      <c r="C2491" t="s">
        <v>3668</v>
      </c>
      <c r="D2491" t="str">
        <f t="shared" si="40"/>
        <v>LE7510194418,</v>
      </c>
    </row>
    <row r="2492" spans="3:4">
      <c r="C2492" t="s">
        <v>3422</v>
      </c>
      <c r="D2492" t="str">
        <f t="shared" si="40"/>
        <v>LE7510185549,</v>
      </c>
    </row>
    <row r="2493" spans="3:4">
      <c r="C2493" t="s">
        <v>3454</v>
      </c>
      <c r="D2493" t="str">
        <f t="shared" si="40"/>
        <v>LE7510183951,</v>
      </c>
    </row>
    <row r="2494" spans="3:4">
      <c r="C2494" t="s">
        <v>3421</v>
      </c>
      <c r="D2494" t="str">
        <f t="shared" si="40"/>
        <v>LE7510183595,</v>
      </c>
    </row>
    <row r="2495" spans="3:4">
      <c r="C2495" t="s">
        <v>3461</v>
      </c>
      <c r="D2495" t="str">
        <f t="shared" si="40"/>
        <v>LE7510178053,</v>
      </c>
    </row>
    <row r="2496" spans="3:4">
      <c r="C2496" t="s">
        <v>4246</v>
      </c>
      <c r="D2496" t="str">
        <f t="shared" si="40"/>
        <v>LK0060920862,</v>
      </c>
    </row>
    <row r="2497" spans="3:4">
      <c r="C2497" t="s">
        <v>3411</v>
      </c>
      <c r="D2497" t="str">
        <f t="shared" si="40"/>
        <v>LE7510139394,</v>
      </c>
    </row>
    <row r="2498" spans="3:4">
      <c r="C2498" t="s">
        <v>3663</v>
      </c>
      <c r="D2498" t="str">
        <f t="shared" si="40"/>
        <v>LE7510203901,</v>
      </c>
    </row>
    <row r="2499" spans="3:4">
      <c r="C2499" t="s">
        <v>3655</v>
      </c>
      <c r="D2499" t="str">
        <f t="shared" si="40"/>
        <v>LE7510200685,</v>
      </c>
    </row>
    <row r="2500" spans="3:4">
      <c r="C2500" t="s">
        <v>3665</v>
      </c>
      <c r="D2500" t="str">
        <f t="shared" si="40"/>
        <v>LE7510184031,</v>
      </c>
    </row>
    <row r="2501" spans="3:4">
      <c r="C2501" t="s">
        <v>3407</v>
      </c>
      <c r="D2501" t="str">
        <f t="shared" si="40"/>
        <v>LE7510182022,</v>
      </c>
    </row>
    <row r="2502" spans="3:4">
      <c r="C2502" t="s">
        <v>3667</v>
      </c>
      <c r="D2502" t="str">
        <f t="shared" si="40"/>
        <v>LE7510179373,</v>
      </c>
    </row>
    <row r="2503" spans="3:4">
      <c r="C2503" t="s">
        <v>3662</v>
      </c>
      <c r="D2503" t="str">
        <f t="shared" si="40"/>
        <v>LE7510178618,</v>
      </c>
    </row>
    <row r="2504" spans="3:4">
      <c r="C2504" t="s">
        <v>2271</v>
      </c>
      <c r="D2504" t="str">
        <f t="shared" si="40"/>
        <v>LE7510174040,</v>
      </c>
    </row>
    <row r="2505" spans="3:4">
      <c r="C2505" t="s">
        <v>2277</v>
      </c>
      <c r="D2505" t="str">
        <f t="shared" si="40"/>
        <v>LE7510171844,</v>
      </c>
    </row>
    <row r="2506" spans="3:4">
      <c r="C2506" t="s">
        <v>3584</v>
      </c>
      <c r="D2506" t="str">
        <f t="shared" si="40"/>
        <v>LE9012090402,</v>
      </c>
    </row>
    <row r="2507" spans="3:4">
      <c r="C2507" t="s">
        <v>2273</v>
      </c>
      <c r="D2507" t="str">
        <f t="shared" si="40"/>
        <v>LE9012085910,</v>
      </c>
    </row>
    <row r="2508" spans="3:4">
      <c r="C2508" t="s">
        <v>3583</v>
      </c>
      <c r="D2508" t="str">
        <f t="shared" si="40"/>
        <v>LE9012080751,</v>
      </c>
    </row>
    <row r="2509" spans="3:4">
      <c r="C2509" t="s">
        <v>2275</v>
      </c>
      <c r="D2509" t="str">
        <f t="shared" si="40"/>
        <v>LE9012079392,</v>
      </c>
    </row>
    <row r="2510" spans="3:4">
      <c r="C2510" t="s">
        <v>2267</v>
      </c>
      <c r="D2510" t="str">
        <f t="shared" si="40"/>
        <v>LE9012079231,</v>
      </c>
    </row>
    <row r="2511" spans="3:4">
      <c r="C2511" t="s">
        <v>2280</v>
      </c>
      <c r="D2511" t="str">
        <f t="shared" si="40"/>
        <v>LE9012078422,</v>
      </c>
    </row>
    <row r="2512" spans="3:4">
      <c r="C2512" t="s">
        <v>2270</v>
      </c>
      <c r="D2512" t="str">
        <f t="shared" si="40"/>
        <v>LE9012078256,</v>
      </c>
    </row>
    <row r="2513" spans="3:4">
      <c r="C2513" t="s">
        <v>2268</v>
      </c>
      <c r="D2513" t="str">
        <f t="shared" si="40"/>
        <v>LE9012078257,</v>
      </c>
    </row>
    <row r="2514" spans="3:4">
      <c r="C2514" t="s">
        <v>2285</v>
      </c>
      <c r="D2514" t="str">
        <f t="shared" si="40"/>
        <v>LE9012077989,</v>
      </c>
    </row>
    <row r="2515" spans="3:4">
      <c r="C2515" t="s">
        <v>2264</v>
      </c>
      <c r="D2515" t="str">
        <f t="shared" si="40"/>
        <v>LE9012077488,</v>
      </c>
    </row>
    <row r="2516" spans="3:4">
      <c r="C2516" t="s">
        <v>3669</v>
      </c>
      <c r="D2516" t="str">
        <f t="shared" si="40"/>
        <v>LE9012076199,</v>
      </c>
    </row>
    <row r="2517" spans="3:4">
      <c r="C2517" t="s">
        <v>2272</v>
      </c>
      <c r="D2517" t="str">
        <f t="shared" si="40"/>
        <v>LE9012075505,</v>
      </c>
    </row>
    <row r="2518" spans="3:4">
      <c r="C2518" t="s">
        <v>3450</v>
      </c>
      <c r="D2518" t="str">
        <f t="shared" si="40"/>
        <v>LE9012073222,</v>
      </c>
    </row>
    <row r="2519" spans="3:4">
      <c r="C2519" t="s">
        <v>3451</v>
      </c>
      <c r="D2519" t="str">
        <f t="shared" si="40"/>
        <v>LE9012073712,</v>
      </c>
    </row>
    <row r="2520" spans="3:4">
      <c r="C2520" t="s">
        <v>2278</v>
      </c>
      <c r="D2520" t="str">
        <f t="shared" si="40"/>
        <v>LE9012072879,</v>
      </c>
    </row>
    <row r="2521" spans="3:4">
      <c r="C2521" t="s">
        <v>2263</v>
      </c>
      <c r="D2521" t="str">
        <f t="shared" si="40"/>
        <v>LE9012072538,</v>
      </c>
    </row>
    <row r="2522" spans="3:4">
      <c r="C2522" t="s">
        <v>2279</v>
      </c>
      <c r="D2522" t="str">
        <f t="shared" si="40"/>
        <v>LE9012067292,</v>
      </c>
    </row>
    <row r="2523" spans="3:4">
      <c r="C2523" t="s">
        <v>2276</v>
      </c>
      <c r="D2523" t="str">
        <f t="shared" si="40"/>
        <v>LE0060902419,</v>
      </c>
    </row>
    <row r="2524" spans="3:4">
      <c r="C2524" t="s">
        <v>4247</v>
      </c>
      <c r="D2524" t="str">
        <f t="shared" si="40"/>
        <v>ML7507574769,</v>
      </c>
    </row>
    <row r="2525" spans="3:4">
      <c r="C2525" t="s">
        <v>3562</v>
      </c>
      <c r="D2525" t="str">
        <f t="shared" si="40"/>
        <v>KL7513699252,</v>
      </c>
    </row>
    <row r="2526" spans="3:4">
      <c r="C2526" t="s">
        <v>3505</v>
      </c>
      <c r="D2526" t="str">
        <f t="shared" si="40"/>
        <v>KI7509009265,</v>
      </c>
    </row>
    <row r="2527" spans="3:4">
      <c r="C2527" t="s">
        <v>3648</v>
      </c>
      <c r="D2527" t="str">
        <f t="shared" ref="D2527:D2590" si="41">""&amp;C2527&amp;","</f>
        <v>KI7500329784,</v>
      </c>
    </row>
    <row r="2528" spans="3:4">
      <c r="C2528" t="s">
        <v>4248</v>
      </c>
      <c r="D2528" t="str">
        <f t="shared" si="41"/>
        <v>ML7507574813,</v>
      </c>
    </row>
    <row r="2529" spans="3:4">
      <c r="C2529" t="s">
        <v>3518</v>
      </c>
      <c r="D2529" t="str">
        <f t="shared" si="41"/>
        <v>KI7508993358,</v>
      </c>
    </row>
    <row r="2530" spans="3:4">
      <c r="C2530" t="s">
        <v>3464</v>
      </c>
      <c r="D2530" t="str">
        <f t="shared" si="41"/>
        <v>KI7508988237,</v>
      </c>
    </row>
    <row r="2531" spans="3:4">
      <c r="C2531" t="s">
        <v>4249</v>
      </c>
      <c r="D2531" t="str">
        <f t="shared" si="41"/>
        <v>MB7503765654,</v>
      </c>
    </row>
    <row r="2532" spans="3:4">
      <c r="C2532" t="s">
        <v>4250</v>
      </c>
      <c r="D2532" t="str">
        <f t="shared" si="41"/>
        <v>ST9011818840,</v>
      </c>
    </row>
    <row r="2533" spans="3:4">
      <c r="C2533" t="s">
        <v>4251</v>
      </c>
      <c r="D2533" t="str">
        <f t="shared" si="41"/>
        <v>ST9011932487,</v>
      </c>
    </row>
    <row r="2534" spans="3:4">
      <c r="C2534" t="s">
        <v>4252</v>
      </c>
      <c r="D2534" t="str">
        <f t="shared" si="41"/>
        <v>ST9011938877,</v>
      </c>
    </row>
    <row r="2535" spans="3:4">
      <c r="C2535" t="s">
        <v>4253</v>
      </c>
      <c r="D2535" t="str">
        <f t="shared" si="41"/>
        <v>ST9011940092,</v>
      </c>
    </row>
    <row r="2536" spans="3:4">
      <c r="C2536" t="s">
        <v>4254</v>
      </c>
      <c r="D2536" t="str">
        <f t="shared" si="41"/>
        <v>CD7503607059,</v>
      </c>
    </row>
    <row r="2537" spans="3:4">
      <c r="C2537" t="s">
        <v>3533</v>
      </c>
      <c r="D2537" t="str">
        <f t="shared" si="41"/>
        <v>KI7509015710,</v>
      </c>
    </row>
    <row r="2538" spans="3:4">
      <c r="C2538" t="s">
        <v>3479</v>
      </c>
      <c r="D2538" t="str">
        <f t="shared" si="41"/>
        <v>KI7508989315,</v>
      </c>
    </row>
    <row r="2539" spans="3:4">
      <c r="C2539" t="s">
        <v>3485</v>
      </c>
      <c r="D2539" t="str">
        <f t="shared" si="41"/>
        <v>KI7508987863,</v>
      </c>
    </row>
    <row r="2540" spans="3:4">
      <c r="C2540" t="s">
        <v>3604</v>
      </c>
      <c r="D2540" t="str">
        <f t="shared" si="41"/>
        <v>KI7508981966,</v>
      </c>
    </row>
    <row r="2541" spans="3:4">
      <c r="C2541" t="s">
        <v>4255</v>
      </c>
      <c r="D2541" t="str">
        <f t="shared" si="41"/>
        <v>QD7514029971,</v>
      </c>
    </row>
    <row r="2542" spans="3:4">
      <c r="C2542" t="s">
        <v>3927</v>
      </c>
      <c r="D2542" t="str">
        <f t="shared" si="41"/>
        <v>KI7508841183,</v>
      </c>
    </row>
    <row r="2543" spans="3:4">
      <c r="C2543" t="s">
        <v>3530</v>
      </c>
      <c r="D2543" t="str">
        <f t="shared" si="41"/>
        <v>KI7508828202,</v>
      </c>
    </row>
    <row r="2544" spans="3:4">
      <c r="C2544" t="s">
        <v>3504</v>
      </c>
      <c r="D2544" t="str">
        <f t="shared" si="41"/>
        <v>KI7509688658,</v>
      </c>
    </row>
    <row r="2545" spans="3:4">
      <c r="C2545" t="s">
        <v>3463</v>
      </c>
      <c r="D2545" t="str">
        <f t="shared" si="41"/>
        <v>KI7509008158,</v>
      </c>
    </row>
    <row r="2546" spans="3:4">
      <c r="C2546" t="s">
        <v>3462</v>
      </c>
      <c r="D2546" t="str">
        <f t="shared" si="41"/>
        <v>KI7509006397,</v>
      </c>
    </row>
    <row r="2547" spans="3:4">
      <c r="C2547" t="s">
        <v>3481</v>
      </c>
      <c r="D2547" t="str">
        <f t="shared" si="41"/>
        <v>KI7509000538,</v>
      </c>
    </row>
    <row r="2548" spans="3:4">
      <c r="C2548" t="s">
        <v>3508</v>
      </c>
      <c r="D2548" t="str">
        <f t="shared" si="41"/>
        <v>KI7508999385,</v>
      </c>
    </row>
    <row r="2549" spans="3:4">
      <c r="C2549" t="s">
        <v>3517</v>
      </c>
      <c r="D2549" t="str">
        <f t="shared" si="41"/>
        <v>KI7508997492,</v>
      </c>
    </row>
    <row r="2550" spans="3:4">
      <c r="C2550" t="s">
        <v>3516</v>
      </c>
      <c r="D2550" t="str">
        <f t="shared" si="41"/>
        <v>KI7508997491,</v>
      </c>
    </row>
    <row r="2551" spans="3:4">
      <c r="C2551" t="s">
        <v>3521</v>
      </c>
      <c r="D2551" t="str">
        <f t="shared" si="41"/>
        <v>KI7508994064,</v>
      </c>
    </row>
    <row r="2552" spans="3:4">
      <c r="C2552" t="s">
        <v>3478</v>
      </c>
      <c r="D2552" t="str">
        <f t="shared" si="41"/>
        <v>KI7508985015,</v>
      </c>
    </row>
    <row r="2553" spans="3:4">
      <c r="C2553" t="s">
        <v>3513</v>
      </c>
      <c r="D2553" t="str">
        <f t="shared" si="41"/>
        <v>KI7500328564,</v>
      </c>
    </row>
    <row r="2554" spans="3:4">
      <c r="C2554" t="s">
        <v>3467</v>
      </c>
      <c r="D2554" t="str">
        <f t="shared" si="41"/>
        <v>KI7508983709,</v>
      </c>
    </row>
    <row r="2555" spans="3:4">
      <c r="C2555" t="s">
        <v>3519</v>
      </c>
      <c r="D2555" t="str">
        <f t="shared" si="41"/>
        <v>KI7508981256,</v>
      </c>
    </row>
    <row r="2556" spans="3:4">
      <c r="C2556" t="s">
        <v>4256</v>
      </c>
      <c r="D2556" t="str">
        <f t="shared" si="41"/>
        <v>RW7514859718,</v>
      </c>
    </row>
    <row r="2557" spans="3:4">
      <c r="C2557" t="s">
        <v>3401</v>
      </c>
      <c r="D2557" t="str">
        <f t="shared" si="41"/>
        <v>KI7508980680,</v>
      </c>
    </row>
    <row r="2558" spans="3:4">
      <c r="C2558" t="s">
        <v>3512</v>
      </c>
      <c r="D2558" t="str">
        <f t="shared" si="41"/>
        <v>KI7508980314,</v>
      </c>
    </row>
    <row r="2559" spans="3:4">
      <c r="C2559" t="s">
        <v>2286</v>
      </c>
      <c r="D2559" t="str">
        <f t="shared" si="41"/>
        <v>KI7508960844,</v>
      </c>
    </row>
    <row r="2560" spans="3:4">
      <c r="C2560" t="s">
        <v>2259</v>
      </c>
      <c r="D2560" t="str">
        <f t="shared" si="41"/>
        <v>KI7508958623,</v>
      </c>
    </row>
    <row r="2561" spans="3:4">
      <c r="C2561" t="s">
        <v>3465</v>
      </c>
      <c r="D2561" t="str">
        <f t="shared" si="41"/>
        <v>KI7508952749,</v>
      </c>
    </row>
    <row r="2562" spans="3:4">
      <c r="C2562" t="s">
        <v>3458</v>
      </c>
      <c r="D2562" t="str">
        <f t="shared" si="41"/>
        <v>KI7508950074,</v>
      </c>
    </row>
    <row r="2563" spans="3:4">
      <c r="C2563" t="s">
        <v>2255</v>
      </c>
      <c r="D2563" t="str">
        <f t="shared" si="41"/>
        <v>KI7508941682,</v>
      </c>
    </row>
    <row r="2564" spans="3:4">
      <c r="C2564" t="s">
        <v>3385</v>
      </c>
      <c r="D2564" t="str">
        <f t="shared" si="41"/>
        <v>KI7508803782,</v>
      </c>
    </row>
    <row r="2565" spans="3:4">
      <c r="C2565" t="s">
        <v>3531</v>
      </c>
      <c r="D2565" t="str">
        <f t="shared" si="41"/>
        <v>KI7500332699,</v>
      </c>
    </row>
    <row r="2566" spans="3:4">
      <c r="C2566" t="s">
        <v>3529</v>
      </c>
      <c r="D2566" t="str">
        <f t="shared" si="41"/>
        <v>KI7509005038,</v>
      </c>
    </row>
    <row r="2567" spans="3:4">
      <c r="C2567" t="s">
        <v>4257</v>
      </c>
      <c r="D2567" t="str">
        <f t="shared" si="41"/>
        <v>SQ9011929857,</v>
      </c>
    </row>
    <row r="2568" spans="3:4">
      <c r="C2568" t="s">
        <v>3475</v>
      </c>
      <c r="D2568" t="str">
        <f t="shared" si="41"/>
        <v>KI7508993634,</v>
      </c>
    </row>
    <row r="2569" spans="3:4">
      <c r="C2569" t="s">
        <v>2282</v>
      </c>
      <c r="D2569" t="str">
        <f t="shared" si="41"/>
        <v>KI7508977474,</v>
      </c>
    </row>
    <row r="2570" spans="3:4">
      <c r="C2570" t="s">
        <v>3514</v>
      </c>
      <c r="D2570" t="str">
        <f t="shared" si="41"/>
        <v>KI9012080405,</v>
      </c>
    </row>
    <row r="2571" spans="3:4">
      <c r="C2571" t="s">
        <v>3650</v>
      </c>
      <c r="D2571" t="str">
        <f t="shared" si="41"/>
        <v>KI9012077222,</v>
      </c>
    </row>
    <row r="2572" spans="3:4">
      <c r="C2572" t="s">
        <v>3515</v>
      </c>
      <c r="D2572" t="str">
        <f t="shared" si="41"/>
        <v>KI9012077501,</v>
      </c>
    </row>
    <row r="2573" spans="3:4">
      <c r="C2573" t="s">
        <v>4258</v>
      </c>
      <c r="D2573" t="str">
        <f t="shared" si="41"/>
        <v>SA7514076947,</v>
      </c>
    </row>
    <row r="2574" spans="3:4">
      <c r="C2574" t="s">
        <v>3602</v>
      </c>
      <c r="D2574" t="str">
        <f t="shared" si="41"/>
        <v>KI9012073106,</v>
      </c>
    </row>
    <row r="2575" spans="3:4">
      <c r="C2575" t="s">
        <v>4259</v>
      </c>
      <c r="D2575" t="str">
        <f t="shared" si="41"/>
        <v>SD7508030509,</v>
      </c>
    </row>
    <row r="2576" spans="3:4">
      <c r="C2576" t="s">
        <v>3609</v>
      </c>
      <c r="D2576" t="str">
        <f t="shared" si="41"/>
        <v>KI9012078513,</v>
      </c>
    </row>
    <row r="2577" spans="3:4">
      <c r="C2577" t="s">
        <v>3611</v>
      </c>
      <c r="D2577" t="str">
        <f t="shared" si="41"/>
        <v>KI9012078511,</v>
      </c>
    </row>
    <row r="2578" spans="3:4">
      <c r="C2578" t="s">
        <v>3612</v>
      </c>
      <c r="D2578" t="str">
        <f t="shared" si="41"/>
        <v>KI9012078512,</v>
      </c>
    </row>
    <row r="2579" spans="3:4">
      <c r="C2579" t="s">
        <v>3600</v>
      </c>
      <c r="D2579" t="str">
        <f t="shared" si="41"/>
        <v>KI9012078510,</v>
      </c>
    </row>
    <row r="2580" spans="3:4">
      <c r="C2580" t="s">
        <v>4260</v>
      </c>
      <c r="D2580" t="str">
        <f t="shared" si="41"/>
        <v>SD7507949915,</v>
      </c>
    </row>
    <row r="2581" spans="3:4">
      <c r="C2581" t="s">
        <v>3606</v>
      </c>
      <c r="D2581" t="str">
        <f t="shared" si="41"/>
        <v>KI9012077332,</v>
      </c>
    </row>
    <row r="2582" spans="3:4">
      <c r="C2582" t="s">
        <v>3534</v>
      </c>
      <c r="D2582" t="str">
        <f t="shared" si="41"/>
        <v>KI9012077360,</v>
      </c>
    </row>
    <row r="2583" spans="3:4">
      <c r="C2583" t="s">
        <v>3466</v>
      </c>
      <c r="D2583" t="str">
        <f t="shared" si="41"/>
        <v>KI9012076446,</v>
      </c>
    </row>
    <row r="2584" spans="3:4">
      <c r="C2584" t="s">
        <v>3601</v>
      </c>
      <c r="D2584" t="str">
        <f t="shared" si="41"/>
        <v>KI9012076425,</v>
      </c>
    </row>
    <row r="2585" spans="3:4">
      <c r="C2585" t="s">
        <v>3608</v>
      </c>
      <c r="D2585" t="str">
        <f t="shared" si="41"/>
        <v>KI9012076239,</v>
      </c>
    </row>
    <row r="2586" spans="3:4">
      <c r="C2586" t="s">
        <v>4261</v>
      </c>
      <c r="D2586" t="str">
        <f t="shared" si="41"/>
        <v>SJ9011929276,</v>
      </c>
    </row>
    <row r="2587" spans="3:4">
      <c r="C2587" t="s">
        <v>3528</v>
      </c>
      <c r="D2587" t="str">
        <f t="shared" si="41"/>
        <v>KI9012072970,</v>
      </c>
    </row>
    <row r="2588" spans="3:4">
      <c r="C2588" t="s">
        <v>4262</v>
      </c>
      <c r="D2588" t="str">
        <f t="shared" si="41"/>
        <v>SL7507527730,</v>
      </c>
    </row>
    <row r="2589" spans="3:4">
      <c r="C2589" t="s">
        <v>3607</v>
      </c>
      <c r="D2589" t="str">
        <f t="shared" si="41"/>
        <v>KI9012073839,</v>
      </c>
    </row>
    <row r="2590" spans="3:4">
      <c r="C2590" t="s">
        <v>4263</v>
      </c>
      <c r="D2590" t="str">
        <f t="shared" si="41"/>
        <v>SI7504129806,</v>
      </c>
    </row>
    <row r="2591" spans="3:4">
      <c r="C2591" t="s">
        <v>3532</v>
      </c>
      <c r="D2591" t="str">
        <f t="shared" ref="D2591:D2654" si="42">""&amp;C2591&amp;","</f>
        <v>KI9012073208,</v>
      </c>
    </row>
    <row r="2592" spans="3:4">
      <c r="C2592" t="s">
        <v>4264</v>
      </c>
      <c r="D2592" t="str">
        <f t="shared" si="42"/>
        <v>TM7513952464,</v>
      </c>
    </row>
    <row r="2593" spans="3:4">
      <c r="C2593" t="s">
        <v>4265</v>
      </c>
      <c r="D2593" t="str">
        <f t="shared" si="42"/>
        <v>TK9011927012,</v>
      </c>
    </row>
    <row r="2594" spans="3:4">
      <c r="C2594" t="s">
        <v>4266</v>
      </c>
      <c r="D2594" t="str">
        <f t="shared" si="42"/>
        <v>FS7512213163,</v>
      </c>
    </row>
    <row r="2595" spans="3:4">
      <c r="C2595" t="s">
        <v>3610</v>
      </c>
      <c r="D2595" t="str">
        <f t="shared" si="42"/>
        <v>KI9012069246,</v>
      </c>
    </row>
    <row r="2596" spans="3:4">
      <c r="C2596" t="s">
        <v>4267</v>
      </c>
      <c r="D2596" t="str">
        <f t="shared" si="42"/>
        <v>FS7512218961,</v>
      </c>
    </row>
    <row r="2597" spans="3:4">
      <c r="C2597" t="s">
        <v>4268</v>
      </c>
      <c r="D2597" t="str">
        <f t="shared" si="42"/>
        <v>FS7512186585,</v>
      </c>
    </row>
    <row r="2598" spans="3:4">
      <c r="C2598" t="s">
        <v>4269</v>
      </c>
      <c r="D2598" t="str">
        <f t="shared" si="42"/>
        <v>ID0060790949,</v>
      </c>
    </row>
    <row r="2599" spans="3:4">
      <c r="C2599" t="s">
        <v>4270</v>
      </c>
      <c r="D2599" t="str">
        <f t="shared" si="42"/>
        <v>ID7512550398,</v>
      </c>
    </row>
    <row r="2600" spans="3:4">
      <c r="C2600" t="s">
        <v>4271</v>
      </c>
      <c r="D2600" t="str">
        <f t="shared" si="42"/>
        <v>KI0065320111,</v>
      </c>
    </row>
    <row r="2601" spans="3:4">
      <c r="C2601" t="s">
        <v>4272</v>
      </c>
      <c r="D2601" t="str">
        <f t="shared" si="42"/>
        <v>KI0065330018,</v>
      </c>
    </row>
    <row r="2602" spans="3:4">
      <c r="C2602" t="s">
        <v>3605</v>
      </c>
      <c r="D2602" t="str">
        <f t="shared" si="42"/>
        <v>KI9012048515,</v>
      </c>
    </row>
    <row r="2603" spans="3:4">
      <c r="C2603" t="s">
        <v>3484</v>
      </c>
      <c r="D2603" t="str">
        <f t="shared" si="42"/>
        <v>KI0065324556,</v>
      </c>
    </row>
    <row r="2604" spans="3:4">
      <c r="C2604" t="s">
        <v>4273</v>
      </c>
      <c r="D2604" t="str">
        <f t="shared" si="42"/>
        <v>KI9012074330,</v>
      </c>
    </row>
    <row r="2605" spans="3:4">
      <c r="C2605" t="s">
        <v>3658</v>
      </c>
      <c r="D2605" t="str">
        <f t="shared" si="42"/>
        <v>AM7513779332,</v>
      </c>
    </row>
    <row r="2606" spans="3:4">
      <c r="C2606" t="s">
        <v>3572</v>
      </c>
      <c r="D2606" t="str">
        <f t="shared" si="42"/>
        <v>JM7514163594,</v>
      </c>
    </row>
    <row r="2607" spans="3:4">
      <c r="C2607" t="s">
        <v>4274</v>
      </c>
      <c r="D2607" t="str">
        <f t="shared" si="42"/>
        <v>KI9012075834,</v>
      </c>
    </row>
    <row r="2608" spans="3:4">
      <c r="C2608" t="s">
        <v>3575</v>
      </c>
      <c r="D2608" t="str">
        <f t="shared" si="42"/>
        <v>JR7513596908,</v>
      </c>
    </row>
    <row r="2609" spans="3:4">
      <c r="C2609" t="s">
        <v>3573</v>
      </c>
      <c r="D2609" t="str">
        <f t="shared" si="42"/>
        <v>JR7515285371,</v>
      </c>
    </row>
    <row r="2610" spans="3:4">
      <c r="C2610" t="s">
        <v>2256</v>
      </c>
      <c r="D2610" t="str">
        <f t="shared" si="42"/>
        <v>JR9011924433,</v>
      </c>
    </row>
    <row r="2611" spans="3:4">
      <c r="C2611" t="s">
        <v>4275</v>
      </c>
      <c r="D2611" t="str">
        <f t="shared" si="42"/>
        <v>KI9012087393,</v>
      </c>
    </row>
    <row r="2612" spans="3:4">
      <c r="C2612" t="s">
        <v>3443</v>
      </c>
      <c r="D2612" t="str">
        <f t="shared" si="42"/>
        <v>ID7512549448,</v>
      </c>
    </row>
    <row r="2613" spans="3:4">
      <c r="C2613" t="s">
        <v>3448</v>
      </c>
      <c r="D2613" t="str">
        <f t="shared" si="42"/>
        <v>ID7512548830,</v>
      </c>
    </row>
    <row r="2614" spans="3:4">
      <c r="C2614" t="s">
        <v>3537</v>
      </c>
      <c r="D2614" t="str">
        <f t="shared" si="42"/>
        <v>ID7512546141,</v>
      </c>
    </row>
    <row r="2615" spans="3:4">
      <c r="C2615" t="s">
        <v>3452</v>
      </c>
      <c r="D2615" t="str">
        <f t="shared" si="42"/>
        <v>ID7512550275,</v>
      </c>
    </row>
    <row r="2616" spans="3:4">
      <c r="C2616" t="s">
        <v>3440</v>
      </c>
      <c r="D2616" t="str">
        <f t="shared" si="42"/>
        <v>ID7512550568,</v>
      </c>
    </row>
    <row r="2617" spans="3:4">
      <c r="C2617" t="s">
        <v>3425</v>
      </c>
      <c r="D2617" t="str">
        <f t="shared" si="42"/>
        <v>ID9012088389,</v>
      </c>
    </row>
    <row r="2618" spans="3:4">
      <c r="C2618" t="s">
        <v>3423</v>
      </c>
      <c r="D2618" t="str">
        <f t="shared" si="42"/>
        <v>ID9012088968,</v>
      </c>
    </row>
    <row r="2619" spans="3:4">
      <c r="C2619" t="s">
        <v>3446</v>
      </c>
      <c r="D2619" t="str">
        <f t="shared" si="42"/>
        <v>ID9011940781,</v>
      </c>
    </row>
    <row r="2620" spans="3:4">
      <c r="C2620" t="s">
        <v>3432</v>
      </c>
      <c r="D2620" t="str">
        <f t="shared" si="42"/>
        <v>ID9012084119,</v>
      </c>
    </row>
    <row r="2621" spans="3:4">
      <c r="C2621" t="s">
        <v>3429</v>
      </c>
      <c r="D2621" t="str">
        <f t="shared" si="42"/>
        <v>ID9012085422,</v>
      </c>
    </row>
    <row r="2622" spans="3:4">
      <c r="C2622" t="s">
        <v>3441</v>
      </c>
      <c r="D2622" t="str">
        <f t="shared" si="42"/>
        <v>ID9012085388,</v>
      </c>
    </row>
    <row r="2623" spans="3:4">
      <c r="C2623" t="s">
        <v>3442</v>
      </c>
      <c r="D2623" t="str">
        <f t="shared" si="42"/>
        <v>ID9012083979,</v>
      </c>
    </row>
    <row r="2624" spans="3:4">
      <c r="C2624" t="s">
        <v>3435</v>
      </c>
      <c r="D2624" t="str">
        <f t="shared" si="42"/>
        <v>ID9012083932,</v>
      </c>
    </row>
    <row r="2625" spans="3:4">
      <c r="C2625" t="s">
        <v>3438</v>
      </c>
      <c r="D2625" t="str">
        <f t="shared" si="42"/>
        <v>ID9012075195,</v>
      </c>
    </row>
    <row r="2626" spans="3:4">
      <c r="C2626" t="s">
        <v>3439</v>
      </c>
      <c r="D2626" t="str">
        <f t="shared" si="42"/>
        <v>ID9011576237,</v>
      </c>
    </row>
    <row r="2627" spans="3:4">
      <c r="C2627" t="s">
        <v>3430</v>
      </c>
      <c r="D2627" t="str">
        <f t="shared" si="42"/>
        <v>ID9011575383,</v>
      </c>
    </row>
    <row r="2628" spans="3:4">
      <c r="C2628" t="s">
        <v>3431</v>
      </c>
      <c r="D2628" t="str">
        <f t="shared" si="42"/>
        <v>ID9011575260,</v>
      </c>
    </row>
    <row r="2629" spans="3:4">
      <c r="C2629" t="s">
        <v>3434</v>
      </c>
      <c r="D2629" t="str">
        <f t="shared" si="42"/>
        <v>ID9011574976,</v>
      </c>
    </row>
    <row r="2630" spans="3:4">
      <c r="C2630" t="s">
        <v>3437</v>
      </c>
      <c r="D2630" t="str">
        <f t="shared" si="42"/>
        <v>ID9011574995,</v>
      </c>
    </row>
    <row r="2631" spans="3:4">
      <c r="C2631" t="s">
        <v>3445</v>
      </c>
      <c r="D2631" t="str">
        <f t="shared" si="42"/>
        <v>ID0060927617,</v>
      </c>
    </row>
    <row r="2632" spans="3:4">
      <c r="C2632" t="s">
        <v>3624</v>
      </c>
      <c r="D2632" t="str">
        <f t="shared" si="42"/>
        <v>GW7514773567,</v>
      </c>
    </row>
    <row r="2633" spans="3:4">
      <c r="C2633" t="s">
        <v>3631</v>
      </c>
      <c r="D2633" t="str">
        <f t="shared" si="42"/>
        <v>GW9011946856,</v>
      </c>
    </row>
    <row r="2634" spans="3:4">
      <c r="C2634" t="s">
        <v>4276</v>
      </c>
      <c r="D2634" t="str">
        <f t="shared" si="42"/>
        <v>KI7509012207,</v>
      </c>
    </row>
    <row r="2635" spans="3:4">
      <c r="C2635" t="s">
        <v>4277</v>
      </c>
      <c r="D2635" t="str">
        <f t="shared" si="42"/>
        <v>KI7508983640,</v>
      </c>
    </row>
    <row r="2636" spans="3:4">
      <c r="C2636" t="s">
        <v>4278</v>
      </c>
      <c r="D2636" t="str">
        <f t="shared" si="42"/>
        <v>KI7508990691,</v>
      </c>
    </row>
    <row r="2637" spans="3:4">
      <c r="C2637" t="s">
        <v>4279</v>
      </c>
      <c r="D2637" t="str">
        <f t="shared" si="42"/>
        <v>KI7508987360,</v>
      </c>
    </row>
    <row r="2638" spans="3:4">
      <c r="C2638" t="s">
        <v>4280</v>
      </c>
      <c r="D2638" t="str">
        <f t="shared" si="42"/>
        <v>KI7500332041,</v>
      </c>
    </row>
    <row r="2639" spans="3:4">
      <c r="C2639" t="s">
        <v>4281</v>
      </c>
      <c r="D2639" t="str">
        <f t="shared" si="42"/>
        <v>KN0060745561,</v>
      </c>
    </row>
    <row r="2640" spans="3:4">
      <c r="C2640" t="s">
        <v>4282</v>
      </c>
      <c r="D2640" t="str">
        <f t="shared" si="42"/>
        <v>LE9012077406,</v>
      </c>
    </row>
    <row r="2641" spans="3:4">
      <c r="C2641" t="s">
        <v>4283</v>
      </c>
      <c r="D2641" t="str">
        <f t="shared" si="42"/>
        <v>LE9012082277,</v>
      </c>
    </row>
    <row r="2642" spans="3:4">
      <c r="C2642" t="s">
        <v>4284</v>
      </c>
      <c r="D2642" t="str">
        <f t="shared" si="42"/>
        <v>LE9012083243,</v>
      </c>
    </row>
    <row r="2643" spans="3:4">
      <c r="C2643" t="s">
        <v>4285</v>
      </c>
      <c r="D2643" t="str">
        <f t="shared" si="42"/>
        <v>LE9012084817,</v>
      </c>
    </row>
    <row r="2644" spans="3:4">
      <c r="C2644" t="s">
        <v>4286</v>
      </c>
      <c r="D2644" t="str">
        <f t="shared" si="42"/>
        <v>LE9012085937,</v>
      </c>
    </row>
    <row r="2645" spans="3:4">
      <c r="C2645" t="s">
        <v>4287</v>
      </c>
      <c r="D2645" t="str">
        <f t="shared" si="42"/>
        <v>LE9012090669,</v>
      </c>
    </row>
    <row r="2646" spans="3:4">
      <c r="C2646" t="s">
        <v>4288</v>
      </c>
      <c r="D2646" t="str">
        <f t="shared" si="42"/>
        <v>LE9012090783,</v>
      </c>
    </row>
    <row r="2647" spans="3:4">
      <c r="C2647" t="s">
        <v>4289</v>
      </c>
      <c r="D2647" t="str">
        <f t="shared" si="42"/>
        <v>LE9012091825,</v>
      </c>
    </row>
    <row r="2648" spans="3:4">
      <c r="C2648" t="s">
        <v>4290</v>
      </c>
      <c r="D2648" t="str">
        <f t="shared" si="42"/>
        <v>LE9012094746,</v>
      </c>
    </row>
    <row r="2649" spans="3:4">
      <c r="C2649" t="s">
        <v>4291</v>
      </c>
      <c r="D2649" t="str">
        <f t="shared" si="42"/>
        <v>LE9012083888,</v>
      </c>
    </row>
    <row r="2650" spans="3:4">
      <c r="C2650" t="s">
        <v>4292</v>
      </c>
      <c r="D2650" t="str">
        <f t="shared" si="42"/>
        <v>LE9012089099,</v>
      </c>
    </row>
    <row r="2651" spans="3:4">
      <c r="C2651" t="s">
        <v>4293</v>
      </c>
      <c r="D2651" t="str">
        <f t="shared" si="42"/>
        <v>LE7510181829,</v>
      </c>
    </row>
    <row r="2652" spans="3:4">
      <c r="C2652" t="s">
        <v>4294</v>
      </c>
      <c r="D2652" t="str">
        <f t="shared" si="42"/>
        <v>LE7510187095,</v>
      </c>
    </row>
    <row r="2653" spans="3:4">
      <c r="C2653" t="s">
        <v>4295</v>
      </c>
      <c r="D2653" t="str">
        <f t="shared" si="42"/>
        <v>LE7510192631,</v>
      </c>
    </row>
    <row r="2654" spans="3:4">
      <c r="C2654" t="s">
        <v>4296</v>
      </c>
      <c r="D2654" t="str">
        <f t="shared" si="42"/>
        <v>LE7510199017,</v>
      </c>
    </row>
    <row r="2655" spans="3:4">
      <c r="C2655" t="s">
        <v>4297</v>
      </c>
      <c r="D2655" t="str">
        <f t="shared" ref="D2655:D2718" si="43">""&amp;C2655&amp;","</f>
        <v>LE7510147619,</v>
      </c>
    </row>
    <row r="2656" spans="3:4">
      <c r="C2656" t="s">
        <v>4298</v>
      </c>
      <c r="D2656" t="str">
        <f t="shared" si="43"/>
        <v>DA7507836373,</v>
      </c>
    </row>
    <row r="2657" spans="3:4">
      <c r="C2657" t="s">
        <v>4299</v>
      </c>
      <c r="D2657" t="str">
        <f t="shared" si="43"/>
        <v>OK7514472663,</v>
      </c>
    </row>
    <row r="2658" spans="3:4">
      <c r="C2658" t="s">
        <v>4300</v>
      </c>
      <c r="D2658" t="str">
        <f t="shared" si="43"/>
        <v>PW7513564763,</v>
      </c>
    </row>
    <row r="2659" spans="3:4">
      <c r="C2659" t="s">
        <v>4301</v>
      </c>
      <c r="D2659" t="str">
        <f t="shared" si="43"/>
        <v>RW7515006478,</v>
      </c>
    </row>
    <row r="2660" spans="3:4">
      <c r="C2660" t="s">
        <v>4302</v>
      </c>
      <c r="D2660" t="str">
        <f t="shared" si="43"/>
        <v>SA9012067041,</v>
      </c>
    </row>
    <row r="2661" spans="3:4">
      <c r="C2661" t="s">
        <v>4303</v>
      </c>
      <c r="D2661" t="str">
        <f t="shared" si="43"/>
        <v>SA7515162433,</v>
      </c>
    </row>
    <row r="2662" spans="3:4">
      <c r="C2662" t="s">
        <v>4304</v>
      </c>
      <c r="D2662" t="str">
        <f t="shared" si="43"/>
        <v>SL7507531137,</v>
      </c>
    </row>
    <row r="2663" spans="3:4">
      <c r="C2663" t="s">
        <v>3995</v>
      </c>
      <c r="D2663" t="str">
        <f t="shared" si="43"/>
        <v>LE7510099053,</v>
      </c>
    </row>
    <row r="2664" spans="3:4">
      <c r="C2664" t="s">
        <v>4090</v>
      </c>
      <c r="D2664" t="str">
        <f t="shared" si="43"/>
        <v>RN9012073041,</v>
      </c>
    </row>
    <row r="2665" spans="3:4">
      <c r="C2665" t="s">
        <v>4089</v>
      </c>
      <c r="D2665" t="str">
        <f t="shared" si="43"/>
        <v>RN9012072863,</v>
      </c>
    </row>
    <row r="2666" spans="3:4">
      <c r="C2666" t="s">
        <v>4092</v>
      </c>
      <c r="D2666" t="str">
        <f t="shared" si="43"/>
        <v>RN9012079244,</v>
      </c>
    </row>
    <row r="2667" spans="3:4">
      <c r="C2667" t="s">
        <v>4305</v>
      </c>
      <c r="D2667" t="str">
        <f t="shared" si="43"/>
        <v>MN7513093083,</v>
      </c>
    </row>
    <row r="2668" spans="3:4">
      <c r="C2668" t="s">
        <v>4306</v>
      </c>
      <c r="D2668" t="str">
        <f t="shared" si="43"/>
        <v>MN7513093208,</v>
      </c>
    </row>
    <row r="2669" spans="3:4">
      <c r="C2669" t="s">
        <v>4307</v>
      </c>
      <c r="D2669" t="str">
        <f t="shared" si="43"/>
        <v>MN7513093248,</v>
      </c>
    </row>
    <row r="2670" spans="3:4">
      <c r="C2670" t="s">
        <v>4308</v>
      </c>
      <c r="D2670" t="str">
        <f t="shared" si="43"/>
        <v>MN7513093250,</v>
      </c>
    </row>
    <row r="2671" spans="3:4">
      <c r="C2671" t="s">
        <v>4309</v>
      </c>
      <c r="D2671" t="str">
        <f t="shared" si="43"/>
        <v>MN7513092823,</v>
      </c>
    </row>
    <row r="2672" spans="3:4">
      <c r="C2672" t="s">
        <v>4310</v>
      </c>
      <c r="D2672" t="str">
        <f t="shared" si="43"/>
        <v>FS7512187269,</v>
      </c>
    </row>
    <row r="2673" spans="3:4">
      <c r="C2673" t="s">
        <v>2593</v>
      </c>
      <c r="D2673" t="str">
        <f t="shared" si="43"/>
        <v>FS0060921152,</v>
      </c>
    </row>
    <row r="2674" spans="3:4">
      <c r="C2674" t="s">
        <v>3134</v>
      </c>
      <c r="D2674" t="str">
        <f t="shared" si="43"/>
        <v>FS0060928680,</v>
      </c>
    </row>
    <row r="2675" spans="3:4">
      <c r="C2675" t="s">
        <v>1889</v>
      </c>
      <c r="D2675" t="str">
        <f t="shared" si="43"/>
        <v>FS9012001175,</v>
      </c>
    </row>
    <row r="2676" spans="3:4">
      <c r="C2676" t="s">
        <v>1686</v>
      </c>
      <c r="D2676" t="str">
        <f t="shared" si="43"/>
        <v>FS9012005941,</v>
      </c>
    </row>
    <row r="2677" spans="3:4">
      <c r="C2677" t="s">
        <v>3104</v>
      </c>
      <c r="D2677" t="str">
        <f t="shared" si="43"/>
        <v>FS9012025773,</v>
      </c>
    </row>
    <row r="2678" spans="3:4">
      <c r="C2678" t="s">
        <v>3091</v>
      </c>
      <c r="D2678" t="str">
        <f t="shared" si="43"/>
        <v>FS9012031893,</v>
      </c>
    </row>
    <row r="2679" spans="3:4">
      <c r="C2679" t="s">
        <v>1976</v>
      </c>
      <c r="D2679" t="str">
        <f t="shared" si="43"/>
        <v>FS9012037323,</v>
      </c>
    </row>
    <row r="2680" spans="3:4">
      <c r="C2680" t="s">
        <v>2054</v>
      </c>
      <c r="D2680" t="str">
        <f t="shared" si="43"/>
        <v>FS9012037636,</v>
      </c>
    </row>
    <row r="2681" spans="3:4">
      <c r="C2681" t="s">
        <v>3280</v>
      </c>
      <c r="D2681" t="str">
        <f t="shared" si="43"/>
        <v>FS9012044604,</v>
      </c>
    </row>
    <row r="2682" spans="3:4">
      <c r="C2682" t="s">
        <v>3119</v>
      </c>
      <c r="D2682" t="str">
        <f t="shared" si="43"/>
        <v>FS9012044685,</v>
      </c>
    </row>
    <row r="2683" spans="3:4">
      <c r="C2683" t="s">
        <v>1974</v>
      </c>
      <c r="D2683" t="str">
        <f t="shared" si="43"/>
        <v>FS9012047734,</v>
      </c>
    </row>
    <row r="2684" spans="3:4">
      <c r="C2684" t="s">
        <v>2562</v>
      </c>
      <c r="D2684" t="str">
        <f t="shared" si="43"/>
        <v>FS9012051930,</v>
      </c>
    </row>
    <row r="2685" spans="3:4">
      <c r="C2685" t="s">
        <v>3221</v>
      </c>
      <c r="D2685" t="str">
        <f t="shared" si="43"/>
        <v>FS9011930887,</v>
      </c>
    </row>
    <row r="2686" spans="3:4">
      <c r="C2686" t="s">
        <v>2515</v>
      </c>
      <c r="D2686" t="str">
        <f t="shared" si="43"/>
        <v>FS9012075765,</v>
      </c>
    </row>
    <row r="2687" spans="3:4">
      <c r="C2687" t="s">
        <v>2857</v>
      </c>
      <c r="D2687" t="str">
        <f t="shared" si="43"/>
        <v>FS7512073095,</v>
      </c>
    </row>
    <row r="2688" spans="3:4">
      <c r="C2688" t="s">
        <v>2948</v>
      </c>
      <c r="D2688" t="str">
        <f t="shared" si="43"/>
        <v>FS7512373159,</v>
      </c>
    </row>
    <row r="2689" spans="3:4">
      <c r="C2689" t="s">
        <v>2906</v>
      </c>
      <c r="D2689" t="str">
        <f t="shared" si="43"/>
        <v>FS7512372891,</v>
      </c>
    </row>
    <row r="2690" spans="3:4">
      <c r="C2690" t="s">
        <v>2845</v>
      </c>
      <c r="D2690" t="str">
        <f t="shared" si="43"/>
        <v>FS7512081153,</v>
      </c>
    </row>
    <row r="2691" spans="3:4">
      <c r="C2691" t="s">
        <v>2858</v>
      </c>
      <c r="D2691" t="str">
        <f t="shared" si="43"/>
        <v>FS7512374923,</v>
      </c>
    </row>
    <row r="2692" spans="3:4">
      <c r="C2692" t="s">
        <v>2632</v>
      </c>
      <c r="D2692" t="str">
        <f t="shared" si="43"/>
        <v>FS7512085956,</v>
      </c>
    </row>
    <row r="2693" spans="3:4">
      <c r="C2693" t="s">
        <v>3198</v>
      </c>
      <c r="D2693" t="str">
        <f t="shared" si="43"/>
        <v>FS7512375941,</v>
      </c>
    </row>
    <row r="2694" spans="3:4">
      <c r="C2694" t="s">
        <v>2895</v>
      </c>
      <c r="D2694" t="str">
        <f t="shared" si="43"/>
        <v>FS7512376350,</v>
      </c>
    </row>
    <row r="2695" spans="3:4">
      <c r="C2695" t="s">
        <v>2716</v>
      </c>
      <c r="D2695" t="str">
        <f t="shared" si="43"/>
        <v>FS7512092197,</v>
      </c>
    </row>
    <row r="2696" spans="3:4">
      <c r="C2696" t="s">
        <v>2756</v>
      </c>
      <c r="D2696" t="str">
        <f t="shared" si="43"/>
        <v>FS7512092274,</v>
      </c>
    </row>
    <row r="2697" spans="3:4">
      <c r="C2697" t="s">
        <v>2765</v>
      </c>
      <c r="D2697" t="str">
        <f t="shared" si="43"/>
        <v>FS7512377130,</v>
      </c>
    </row>
    <row r="2698" spans="3:4">
      <c r="C2698" t="s">
        <v>2975</v>
      </c>
      <c r="D2698" t="str">
        <f t="shared" si="43"/>
        <v>FS7512095015,</v>
      </c>
    </row>
    <row r="2699" spans="3:4">
      <c r="C2699" t="s">
        <v>2738</v>
      </c>
      <c r="D2699" t="str">
        <f t="shared" si="43"/>
        <v>FS7512102688,</v>
      </c>
    </row>
    <row r="2700" spans="3:4">
      <c r="C2700" t="s">
        <v>2547</v>
      </c>
      <c r="D2700" t="str">
        <f t="shared" si="43"/>
        <v>FS7512378379,</v>
      </c>
    </row>
    <row r="2701" spans="3:4">
      <c r="C2701" t="s">
        <v>3117</v>
      </c>
      <c r="D2701" t="str">
        <f t="shared" si="43"/>
        <v>FS7512378676,</v>
      </c>
    </row>
    <row r="2702" spans="3:4">
      <c r="C2702" t="s">
        <v>2726</v>
      </c>
      <c r="D2702" t="str">
        <f t="shared" si="43"/>
        <v>FS7512378951,</v>
      </c>
    </row>
    <row r="2703" spans="3:4">
      <c r="C2703" t="s">
        <v>2656</v>
      </c>
      <c r="D2703" t="str">
        <f t="shared" si="43"/>
        <v>FS7512114615,</v>
      </c>
    </row>
    <row r="2704" spans="3:4">
      <c r="C2704" t="s">
        <v>2150</v>
      </c>
      <c r="D2704" t="str">
        <f t="shared" si="43"/>
        <v>FS7512115930,</v>
      </c>
    </row>
    <row r="2705" spans="3:4">
      <c r="C2705" t="s">
        <v>2435</v>
      </c>
      <c r="D2705" t="str">
        <f t="shared" si="43"/>
        <v>FS7512120853,</v>
      </c>
    </row>
    <row r="2706" spans="3:4">
      <c r="C2706" t="s">
        <v>2964</v>
      </c>
      <c r="D2706" t="str">
        <f t="shared" si="43"/>
        <v>FS7512380675,</v>
      </c>
    </row>
    <row r="2707" spans="3:4">
      <c r="C2707" t="s">
        <v>3109</v>
      </c>
      <c r="D2707" t="str">
        <f t="shared" si="43"/>
        <v>FS7512385232,</v>
      </c>
    </row>
    <row r="2708" spans="3:4">
      <c r="C2708" t="s">
        <v>3174</v>
      </c>
      <c r="D2708" t="str">
        <f t="shared" si="43"/>
        <v>FS7512158731,</v>
      </c>
    </row>
    <row r="2709" spans="3:4">
      <c r="C2709" t="s">
        <v>3118</v>
      </c>
      <c r="D2709" t="str">
        <f t="shared" si="43"/>
        <v>FS7512386909,</v>
      </c>
    </row>
    <row r="2710" spans="3:4">
      <c r="C2710" t="s">
        <v>3196</v>
      </c>
      <c r="D2710" t="str">
        <f t="shared" si="43"/>
        <v>FS7512174803,</v>
      </c>
    </row>
    <row r="2711" spans="3:4">
      <c r="C2711" t="s">
        <v>3310</v>
      </c>
      <c r="D2711" t="str">
        <f t="shared" si="43"/>
        <v>FS7512178502,</v>
      </c>
    </row>
    <row r="2712" spans="3:4">
      <c r="C2712" t="s">
        <v>3372</v>
      </c>
      <c r="D2712" t="str">
        <f t="shared" si="43"/>
        <v>FS7512389847,</v>
      </c>
    </row>
    <row r="2713" spans="3:4">
      <c r="C2713" t="s">
        <v>3371</v>
      </c>
      <c r="D2713" t="str">
        <f t="shared" si="43"/>
        <v>FS7512389817,</v>
      </c>
    </row>
    <row r="2714" spans="3:4">
      <c r="C2714" t="s">
        <v>2316</v>
      </c>
      <c r="D2714" t="str">
        <f t="shared" si="43"/>
        <v>FS7512192316,</v>
      </c>
    </row>
    <row r="2715" spans="3:4">
      <c r="C2715" t="s">
        <v>2392</v>
      </c>
      <c r="D2715" t="str">
        <f t="shared" si="43"/>
        <v>FS7512195730,</v>
      </c>
    </row>
    <row r="2716" spans="3:4">
      <c r="C2716" t="s">
        <v>2383</v>
      </c>
      <c r="D2716" t="str">
        <f t="shared" si="43"/>
        <v>FS7512196113,</v>
      </c>
    </row>
    <row r="2717" spans="3:4">
      <c r="C2717" t="s">
        <v>2416</v>
      </c>
      <c r="D2717" t="str">
        <f t="shared" si="43"/>
        <v>FS7512202333,</v>
      </c>
    </row>
    <row r="2718" spans="3:4">
      <c r="C2718" t="s">
        <v>3268</v>
      </c>
      <c r="D2718" t="str">
        <f t="shared" si="43"/>
        <v>FS7512075736,</v>
      </c>
    </row>
    <row r="2719" spans="3:4">
      <c r="C2719" t="s">
        <v>2720</v>
      </c>
      <c r="D2719" t="str">
        <f t="shared" ref="D2719:D2782" si="44">""&amp;C2719&amp;","</f>
        <v>FS7512075960,</v>
      </c>
    </row>
    <row r="2720" spans="3:4">
      <c r="C2720" t="s">
        <v>1859</v>
      </c>
      <c r="D2720" t="str">
        <f t="shared" si="44"/>
        <v>FS7512077781,</v>
      </c>
    </row>
    <row r="2721" spans="3:4">
      <c r="C2721" t="s">
        <v>2844</v>
      </c>
      <c r="D2721" t="str">
        <f t="shared" si="44"/>
        <v>FS7512077955,</v>
      </c>
    </row>
    <row r="2722" spans="3:4">
      <c r="C2722" t="s">
        <v>2754</v>
      </c>
      <c r="D2722" t="str">
        <f t="shared" si="44"/>
        <v>FS7512079332,</v>
      </c>
    </row>
    <row r="2723" spans="3:4">
      <c r="C2723" t="s">
        <v>1676</v>
      </c>
      <c r="D2723" t="str">
        <f t="shared" si="44"/>
        <v>FS7512079391,</v>
      </c>
    </row>
    <row r="2724" spans="3:4">
      <c r="C2724" t="s">
        <v>2865</v>
      </c>
      <c r="D2724" t="str">
        <f t="shared" si="44"/>
        <v>FS7512081603,</v>
      </c>
    </row>
    <row r="2725" spans="3:4">
      <c r="C2725" t="s">
        <v>2904</v>
      </c>
      <c r="D2725" t="str">
        <f t="shared" si="44"/>
        <v>FS7512081998,</v>
      </c>
    </row>
    <row r="2726" spans="3:4">
      <c r="C2726" t="s">
        <v>2828</v>
      </c>
      <c r="D2726" t="str">
        <f t="shared" si="44"/>
        <v>FS7512082259,</v>
      </c>
    </row>
    <row r="2727" spans="3:4">
      <c r="C2727" t="s">
        <v>2829</v>
      </c>
      <c r="D2727" t="str">
        <f t="shared" si="44"/>
        <v>FS7512083610,</v>
      </c>
    </row>
    <row r="2728" spans="3:4">
      <c r="C2728" t="s">
        <v>2762</v>
      </c>
      <c r="D2728" t="str">
        <f t="shared" si="44"/>
        <v>FS7512083820,</v>
      </c>
    </row>
    <row r="2729" spans="3:4">
      <c r="C2729" t="s">
        <v>2959</v>
      </c>
      <c r="D2729" t="str">
        <f t="shared" si="44"/>
        <v>FS7512084013,</v>
      </c>
    </row>
    <row r="2730" spans="3:4">
      <c r="C2730" t="s">
        <v>2622</v>
      </c>
      <c r="D2730" t="str">
        <f t="shared" si="44"/>
        <v>FS7512085912,</v>
      </c>
    </row>
    <row r="2731" spans="3:4">
      <c r="C2731" t="s">
        <v>2831</v>
      </c>
      <c r="D2731" t="str">
        <f t="shared" si="44"/>
        <v>FS7512375648,</v>
      </c>
    </row>
    <row r="2732" spans="3:4">
      <c r="C2732" t="s">
        <v>3115</v>
      </c>
      <c r="D2732" t="str">
        <f t="shared" si="44"/>
        <v>FS7512086486,</v>
      </c>
    </row>
    <row r="2733" spans="3:4">
      <c r="C2733" t="s">
        <v>2881</v>
      </c>
      <c r="D2733" t="str">
        <f t="shared" si="44"/>
        <v>FS7512088292,</v>
      </c>
    </row>
    <row r="2734" spans="3:4">
      <c r="C2734" t="s">
        <v>2755</v>
      </c>
      <c r="D2734" t="str">
        <f t="shared" si="44"/>
        <v>FS7512089537,</v>
      </c>
    </row>
    <row r="2735" spans="3:4">
      <c r="C2735" t="s">
        <v>2764</v>
      </c>
      <c r="D2735" t="str">
        <f t="shared" si="44"/>
        <v>FS7512090665,</v>
      </c>
    </row>
    <row r="2736" spans="3:4">
      <c r="C2736" t="s">
        <v>2721</v>
      </c>
      <c r="D2736" t="str">
        <f t="shared" si="44"/>
        <v>FS7512091472,</v>
      </c>
    </row>
    <row r="2737" spans="3:4">
      <c r="C2737" t="s">
        <v>2722</v>
      </c>
      <c r="D2737" t="str">
        <f t="shared" si="44"/>
        <v>FS7512093733,</v>
      </c>
    </row>
    <row r="2738" spans="3:4">
      <c r="C2738" t="s">
        <v>1849</v>
      </c>
      <c r="D2738" t="str">
        <f t="shared" si="44"/>
        <v>FS7512095414,</v>
      </c>
    </row>
    <row r="2739" spans="3:4">
      <c r="C2739" t="s">
        <v>2725</v>
      </c>
      <c r="D2739" t="str">
        <f t="shared" si="44"/>
        <v>FS7512377389,</v>
      </c>
    </row>
    <row r="2740" spans="3:4">
      <c r="C2740" t="s">
        <v>3153</v>
      </c>
      <c r="D2740" t="str">
        <f t="shared" si="44"/>
        <v>FS7512098189,</v>
      </c>
    </row>
    <row r="2741" spans="3:4">
      <c r="C2741" t="s">
        <v>3039</v>
      </c>
      <c r="D2741" t="str">
        <f t="shared" si="44"/>
        <v>FS7512098396,</v>
      </c>
    </row>
    <row r="2742" spans="3:4">
      <c r="C2742" t="s">
        <v>2401</v>
      </c>
      <c r="D2742" t="str">
        <f t="shared" si="44"/>
        <v>FS7512113051,</v>
      </c>
    </row>
    <row r="2743" spans="3:4">
      <c r="C2743" t="s">
        <v>2667</v>
      </c>
      <c r="D2743" t="str">
        <f t="shared" si="44"/>
        <v>FS7512113910,</v>
      </c>
    </row>
    <row r="2744" spans="3:4">
      <c r="C2744" t="s">
        <v>2960</v>
      </c>
      <c r="D2744" t="str">
        <f t="shared" si="44"/>
        <v>FS7512114081,</v>
      </c>
    </row>
    <row r="2745" spans="3:4">
      <c r="C2745" t="s">
        <v>2976</v>
      </c>
      <c r="D2745" t="str">
        <f t="shared" si="44"/>
        <v>FS7512114133,</v>
      </c>
    </row>
    <row r="2746" spans="3:4">
      <c r="C2746" t="s">
        <v>3258</v>
      </c>
      <c r="D2746" t="str">
        <f t="shared" si="44"/>
        <v>FS7512116292,</v>
      </c>
    </row>
    <row r="2747" spans="3:4">
      <c r="C2747" t="s">
        <v>3243</v>
      </c>
      <c r="D2747" t="str">
        <f t="shared" si="44"/>
        <v>FS7512116659,</v>
      </c>
    </row>
    <row r="2748" spans="3:4">
      <c r="C2748" t="s">
        <v>2413</v>
      </c>
      <c r="D2748" t="str">
        <f t="shared" si="44"/>
        <v>FS7512117829,</v>
      </c>
    </row>
    <row r="2749" spans="3:4">
      <c r="C2749" t="s">
        <v>2657</v>
      </c>
      <c r="D2749" t="str">
        <f t="shared" si="44"/>
        <v>FS7512118080,</v>
      </c>
    </row>
    <row r="2750" spans="3:4">
      <c r="C2750" t="s">
        <v>2634</v>
      </c>
      <c r="D2750" t="str">
        <f t="shared" si="44"/>
        <v>FS7512119814,</v>
      </c>
    </row>
    <row r="2751" spans="3:4">
      <c r="C2751" t="s">
        <v>2603</v>
      </c>
      <c r="D2751" t="str">
        <f t="shared" si="44"/>
        <v>FS7512123651,</v>
      </c>
    </row>
    <row r="2752" spans="3:4">
      <c r="C2752" t="s">
        <v>2604</v>
      </c>
      <c r="D2752" t="str">
        <f t="shared" si="44"/>
        <v>FS7512128399,</v>
      </c>
    </row>
    <row r="2753" spans="3:4">
      <c r="C2753" t="s">
        <v>2977</v>
      </c>
      <c r="D2753" t="str">
        <f t="shared" si="44"/>
        <v>FS7512381560,</v>
      </c>
    </row>
    <row r="2754" spans="3:4">
      <c r="C2754" t="s">
        <v>2605</v>
      </c>
      <c r="D2754" t="str">
        <f t="shared" si="44"/>
        <v>FS7512130914,</v>
      </c>
    </row>
    <row r="2755" spans="3:4">
      <c r="C2755" t="s">
        <v>1988</v>
      </c>
      <c r="D2755" t="str">
        <f t="shared" si="44"/>
        <v>FS7512133266,</v>
      </c>
    </row>
    <row r="2756" spans="3:4">
      <c r="C2756" t="s">
        <v>1907</v>
      </c>
      <c r="D2756" t="str">
        <f t="shared" si="44"/>
        <v>FS7512381732,</v>
      </c>
    </row>
    <row r="2757" spans="3:4">
      <c r="C2757" t="s">
        <v>3082</v>
      </c>
      <c r="D2757" t="str">
        <f t="shared" si="44"/>
        <v>FS7512134311,</v>
      </c>
    </row>
    <row r="2758" spans="3:4">
      <c r="C2758" t="s">
        <v>2426</v>
      </c>
      <c r="D2758" t="str">
        <f t="shared" si="44"/>
        <v>FS7512134829,</v>
      </c>
    </row>
    <row r="2759" spans="3:4">
      <c r="C2759" t="s">
        <v>3219</v>
      </c>
      <c r="D2759" t="str">
        <f t="shared" si="44"/>
        <v>FS7512139712,</v>
      </c>
    </row>
    <row r="2760" spans="3:4">
      <c r="C2760" t="s">
        <v>2924</v>
      </c>
      <c r="D2760" t="str">
        <f t="shared" si="44"/>
        <v>FS7512383381,</v>
      </c>
    </row>
    <row r="2761" spans="3:4">
      <c r="C2761" t="s">
        <v>3220</v>
      </c>
      <c r="D2761" t="str">
        <f t="shared" si="44"/>
        <v>FS7512143935,</v>
      </c>
    </row>
    <row r="2762" spans="3:4">
      <c r="C2762" t="s">
        <v>2064</v>
      </c>
      <c r="D2762" t="str">
        <f t="shared" si="44"/>
        <v>FS7512144448,</v>
      </c>
    </row>
    <row r="2763" spans="3:4">
      <c r="C2763" t="s">
        <v>2557</v>
      </c>
      <c r="D2763" t="str">
        <f t="shared" si="44"/>
        <v>FS7512145287,</v>
      </c>
    </row>
    <row r="2764" spans="3:4">
      <c r="C2764" t="s">
        <v>3300</v>
      </c>
      <c r="D2764" t="str">
        <f t="shared" si="44"/>
        <v>FS7512146545,</v>
      </c>
    </row>
    <row r="2765" spans="3:4">
      <c r="C2765" t="s">
        <v>2905</v>
      </c>
      <c r="D2765" t="str">
        <f t="shared" si="44"/>
        <v>FS7512151507,</v>
      </c>
    </row>
    <row r="2766" spans="3:4">
      <c r="C2766" t="s">
        <v>2153</v>
      </c>
      <c r="D2766" t="str">
        <f t="shared" si="44"/>
        <v>FS7512152387,</v>
      </c>
    </row>
    <row r="2767" spans="3:4">
      <c r="C2767" t="s">
        <v>2962</v>
      </c>
      <c r="D2767" t="str">
        <f t="shared" si="44"/>
        <v>FS7512153015,</v>
      </c>
    </row>
    <row r="2768" spans="3:4">
      <c r="C2768" t="s">
        <v>3116</v>
      </c>
      <c r="D2768" t="str">
        <f t="shared" si="44"/>
        <v>FS7512153336,</v>
      </c>
    </row>
    <row r="2769" spans="3:4">
      <c r="C2769" t="s">
        <v>2963</v>
      </c>
      <c r="D2769" t="str">
        <f t="shared" si="44"/>
        <v>FS7512153366,</v>
      </c>
    </row>
    <row r="2770" spans="3:4">
      <c r="C2770" t="s">
        <v>3233</v>
      </c>
      <c r="D2770" t="str">
        <f t="shared" si="44"/>
        <v>FS7512154373,</v>
      </c>
    </row>
    <row r="2771" spans="3:4">
      <c r="C2771" t="s">
        <v>2561</v>
      </c>
      <c r="D2771" t="str">
        <f t="shared" si="44"/>
        <v>FS7512385648,</v>
      </c>
    </row>
    <row r="2772" spans="3:4">
      <c r="C2772" t="s">
        <v>2237</v>
      </c>
      <c r="D2772" t="str">
        <f t="shared" si="44"/>
        <v>FS7512158644,</v>
      </c>
    </row>
    <row r="2773" spans="3:4">
      <c r="C2773" t="s">
        <v>2947</v>
      </c>
      <c r="D2773" t="str">
        <f t="shared" si="44"/>
        <v>FS7512161540,</v>
      </c>
    </row>
    <row r="2774" spans="3:4">
      <c r="C2774" t="s">
        <v>3244</v>
      </c>
      <c r="D2774" t="str">
        <f t="shared" si="44"/>
        <v>FS7512165011,</v>
      </c>
    </row>
    <row r="2775" spans="3:4">
      <c r="C2775" t="s">
        <v>2432</v>
      </c>
      <c r="D2775" t="str">
        <f t="shared" si="44"/>
        <v>FS7512167699,</v>
      </c>
    </row>
    <row r="2776" spans="3:4">
      <c r="C2776" t="s">
        <v>2359</v>
      </c>
      <c r="D2776" t="str">
        <f t="shared" si="44"/>
        <v>FS7512170629,</v>
      </c>
    </row>
    <row r="2777" spans="3:4">
      <c r="C2777" t="s">
        <v>2395</v>
      </c>
      <c r="D2777" t="str">
        <f t="shared" si="44"/>
        <v>FS7512181899,</v>
      </c>
    </row>
    <row r="2778" spans="3:4">
      <c r="C2778" t="s">
        <v>2377</v>
      </c>
      <c r="D2778" t="str">
        <f t="shared" si="44"/>
        <v>FS7512182942,</v>
      </c>
    </row>
    <row r="2779" spans="3:4">
      <c r="C2779" t="s">
        <v>2513</v>
      </c>
      <c r="D2779" t="str">
        <f t="shared" si="44"/>
        <v>FS7512183490,</v>
      </c>
    </row>
    <row r="2780" spans="3:4">
      <c r="C2780" t="s">
        <v>2299</v>
      </c>
      <c r="D2780" t="str">
        <f t="shared" si="44"/>
        <v>FS7512183640,</v>
      </c>
    </row>
    <row r="2781" spans="3:4">
      <c r="C2781" t="s">
        <v>2536</v>
      </c>
      <c r="D2781" t="str">
        <f t="shared" si="44"/>
        <v>FS7512183801,</v>
      </c>
    </row>
    <row r="2782" spans="3:4">
      <c r="C2782" t="s">
        <v>2314</v>
      </c>
      <c r="D2782" t="str">
        <f t="shared" si="44"/>
        <v>FS7512189841,</v>
      </c>
    </row>
    <row r="2783" spans="3:4">
      <c r="C2783" t="s">
        <v>2245</v>
      </c>
      <c r="D2783" t="str">
        <f t="shared" ref="D2783:D2846" si="45">""&amp;C2783&amp;","</f>
        <v>FS7512392765,</v>
      </c>
    </row>
    <row r="2784" spans="3:4">
      <c r="C2784" t="s">
        <v>2422</v>
      </c>
      <c r="D2784" t="str">
        <f t="shared" si="45"/>
        <v>FS7512206387,</v>
      </c>
    </row>
    <row r="2785" spans="3:4">
      <c r="C2785" t="s">
        <v>2830</v>
      </c>
      <c r="D2785" t="str">
        <f t="shared" si="45"/>
        <v>FS7512085327,</v>
      </c>
    </row>
    <row r="2786" spans="3:4">
      <c r="C2786" t="s">
        <v>3023</v>
      </c>
      <c r="D2786" t="str">
        <f t="shared" si="45"/>
        <v>FS7512099666,</v>
      </c>
    </row>
    <row r="2787" spans="3:4">
      <c r="C2787" t="s">
        <v>2724</v>
      </c>
      <c r="D2787" t="str">
        <f t="shared" si="45"/>
        <v>FS7512108711,</v>
      </c>
    </row>
    <row r="2788" spans="3:4">
      <c r="C2788" t="s">
        <v>2966</v>
      </c>
      <c r="D2788" t="str">
        <f t="shared" si="45"/>
        <v>FS7512381170,</v>
      </c>
    </row>
    <row r="2789" spans="3:4">
      <c r="C2789" t="s">
        <v>2965</v>
      </c>
      <c r="D2789" t="str">
        <f t="shared" si="45"/>
        <v>FS7512381064,</v>
      </c>
    </row>
    <row r="2790" spans="3:4">
      <c r="C2790" t="s">
        <v>2556</v>
      </c>
      <c r="D2790" t="str">
        <f t="shared" si="45"/>
        <v>FS7512142715,</v>
      </c>
    </row>
    <row r="2791" spans="3:4">
      <c r="C2791" t="s">
        <v>3011</v>
      </c>
      <c r="D2791" t="str">
        <f t="shared" si="45"/>
        <v>FS7512145648,</v>
      </c>
    </row>
    <row r="2792" spans="3:4">
      <c r="C2792" t="s">
        <v>2090</v>
      </c>
      <c r="D2792" t="str">
        <f t="shared" si="45"/>
        <v>FS7512157728,</v>
      </c>
    </row>
    <row r="2793" spans="3:4">
      <c r="C2793" t="s">
        <v>2535</v>
      </c>
      <c r="D2793" t="str">
        <f t="shared" si="45"/>
        <v>FS7512158097,</v>
      </c>
    </row>
    <row r="2794" spans="3:4">
      <c r="C2794" t="s">
        <v>2559</v>
      </c>
      <c r="D2794" t="str">
        <f t="shared" si="45"/>
        <v>FS7512167828,</v>
      </c>
    </row>
    <row r="2795" spans="3:4">
      <c r="C2795" t="s">
        <v>3311</v>
      </c>
      <c r="D2795" t="str">
        <f t="shared" si="45"/>
        <v>FS7512186934,</v>
      </c>
    </row>
    <row r="2796" spans="3:4">
      <c r="C2796" t="s">
        <v>2358</v>
      </c>
      <c r="D2796" t="str">
        <f t="shared" si="45"/>
        <v>FS7512192522,</v>
      </c>
    </row>
    <row r="2797" spans="3:4">
      <c r="C2797" t="s">
        <v>2334</v>
      </c>
      <c r="D2797" t="str">
        <f t="shared" si="45"/>
        <v>FS7512198473,</v>
      </c>
    </row>
    <row r="2798" spans="3:4">
      <c r="C2798" t="s">
        <v>2748</v>
      </c>
      <c r="D2798" t="str">
        <f t="shared" si="45"/>
        <v>FS7512085868,</v>
      </c>
    </row>
    <row r="2799" spans="3:4">
      <c r="C2799" t="s">
        <v>2602</v>
      </c>
      <c r="D2799" t="str">
        <f t="shared" si="45"/>
        <v>FS7512091617,</v>
      </c>
    </row>
    <row r="2800" spans="3:4">
      <c r="C2800" t="s">
        <v>2723</v>
      </c>
      <c r="D2800" t="str">
        <f t="shared" si="45"/>
        <v>FS7512096231,</v>
      </c>
    </row>
    <row r="2801" spans="3:4">
      <c r="C2801" t="s">
        <v>2645</v>
      </c>
      <c r="D2801" t="str">
        <f t="shared" si="45"/>
        <v>FS7512118710,</v>
      </c>
    </row>
    <row r="2802" spans="3:4">
      <c r="C2802" t="s">
        <v>2646</v>
      </c>
      <c r="D2802" t="str">
        <f t="shared" si="45"/>
        <v>FS7512118849,</v>
      </c>
    </row>
    <row r="2803" spans="3:4">
      <c r="C2803" t="s">
        <v>1992</v>
      </c>
      <c r="D2803" t="str">
        <f t="shared" si="45"/>
        <v>FS7512118966,</v>
      </c>
    </row>
    <row r="2804" spans="3:4">
      <c r="C2804" t="s">
        <v>2999</v>
      </c>
      <c r="D2804" t="str">
        <f t="shared" si="45"/>
        <v>FS7512123853,</v>
      </c>
    </row>
    <row r="2805" spans="3:4">
      <c r="C2805" t="s">
        <v>2635</v>
      </c>
      <c r="D2805" t="str">
        <f t="shared" si="45"/>
        <v>FS7512123913,</v>
      </c>
    </row>
    <row r="2806" spans="3:4">
      <c r="C2806" t="s">
        <v>2917</v>
      </c>
      <c r="D2806" t="str">
        <f t="shared" si="45"/>
        <v>FS7512133166,</v>
      </c>
    </row>
    <row r="2807" spans="3:4">
      <c r="C2807" t="s">
        <v>2011</v>
      </c>
      <c r="D2807" t="str">
        <f t="shared" si="45"/>
        <v>FS7512136138,</v>
      </c>
    </row>
    <row r="2808" spans="3:4">
      <c r="C2808" t="s">
        <v>2961</v>
      </c>
      <c r="D2808" t="str">
        <f t="shared" si="45"/>
        <v>FS7512139775,</v>
      </c>
    </row>
    <row r="2809" spans="3:4">
      <c r="C2809" t="s">
        <v>2937</v>
      </c>
      <c r="D2809" t="str">
        <f t="shared" si="45"/>
        <v>FS7512151937,</v>
      </c>
    </row>
    <row r="2810" spans="3:4">
      <c r="C2810" t="s">
        <v>2236</v>
      </c>
      <c r="D2810" t="str">
        <f t="shared" si="45"/>
        <v>FS7512166142,</v>
      </c>
    </row>
    <row r="2811" spans="3:4">
      <c r="C2811" t="s">
        <v>3137</v>
      </c>
      <c r="D2811" t="str">
        <f t="shared" si="45"/>
        <v>FS7512170058,</v>
      </c>
    </row>
    <row r="2812" spans="3:4">
      <c r="C2812" t="s">
        <v>2414</v>
      </c>
      <c r="D2812" t="str">
        <f t="shared" si="45"/>
        <v>FS7512176956,</v>
      </c>
    </row>
    <row r="2813" spans="3:4">
      <c r="C2813" t="s">
        <v>2393</v>
      </c>
      <c r="D2813" t="str">
        <f t="shared" si="45"/>
        <v>FS7512178617,</v>
      </c>
    </row>
    <row r="2814" spans="3:4">
      <c r="C2814" t="s">
        <v>2391</v>
      </c>
      <c r="D2814" t="str">
        <f t="shared" si="45"/>
        <v>FS7512191190,</v>
      </c>
    </row>
    <row r="2815" spans="3:4">
      <c r="C2815" t="s">
        <v>2715</v>
      </c>
      <c r="D2815" t="str">
        <f t="shared" si="45"/>
        <v>FS7512056645,</v>
      </c>
    </row>
    <row r="2816" spans="3:4">
      <c r="C2816" t="s">
        <v>2843</v>
      </c>
      <c r="D2816" t="str">
        <f t="shared" si="45"/>
        <v>FS7512076817,</v>
      </c>
    </row>
    <row r="2817" spans="3:4">
      <c r="C2817" t="s">
        <v>2846</v>
      </c>
      <c r="D2817" t="str">
        <f t="shared" si="45"/>
        <v>FS7512081625,</v>
      </c>
    </row>
    <row r="2818" spans="3:4">
      <c r="C2818" t="s">
        <v>2847</v>
      </c>
      <c r="D2818" t="str">
        <f t="shared" si="45"/>
        <v>FS7512084533,</v>
      </c>
    </row>
    <row r="2819" spans="3:4">
      <c r="C2819" t="s">
        <v>2763</v>
      </c>
      <c r="D2819" t="str">
        <f t="shared" si="45"/>
        <v>FS7512087653,</v>
      </c>
    </row>
    <row r="2820" spans="3:4">
      <c r="C2820" t="s">
        <v>2749</v>
      </c>
      <c r="D2820" t="str">
        <f t="shared" si="45"/>
        <v>FS7512087722,</v>
      </c>
    </row>
    <row r="2821" spans="3:4">
      <c r="C2821" t="s">
        <v>2750</v>
      </c>
      <c r="D2821" t="str">
        <f t="shared" si="45"/>
        <v>FS7512100424,</v>
      </c>
    </row>
    <row r="2822" spans="3:4">
      <c r="C2822" t="s">
        <v>2623</v>
      </c>
      <c r="D2822" t="str">
        <f t="shared" si="45"/>
        <v>FS7512102257,</v>
      </c>
    </row>
    <row r="2823" spans="3:4">
      <c r="C2823" t="s">
        <v>3040</v>
      </c>
      <c r="D2823" t="str">
        <f t="shared" si="45"/>
        <v>FS7512104209,</v>
      </c>
    </row>
    <row r="2824" spans="3:4">
      <c r="C2824" t="s">
        <v>2633</v>
      </c>
      <c r="D2824" t="str">
        <f t="shared" si="45"/>
        <v>FS7512115972,</v>
      </c>
    </row>
    <row r="2825" spans="3:4">
      <c r="C2825" t="s">
        <v>3010</v>
      </c>
      <c r="D2825" t="str">
        <f t="shared" si="45"/>
        <v>FS7512142286,</v>
      </c>
    </row>
    <row r="2826" spans="3:4">
      <c r="C2826" t="s">
        <v>3173</v>
      </c>
      <c r="D2826" t="str">
        <f t="shared" si="45"/>
        <v>FS7512149687,</v>
      </c>
    </row>
    <row r="2827" spans="3:4">
      <c r="C2827" t="s">
        <v>2558</v>
      </c>
      <c r="D2827" t="str">
        <f t="shared" si="45"/>
        <v>FS7512159291,</v>
      </c>
    </row>
    <row r="2828" spans="3:4">
      <c r="C2828" t="s">
        <v>3295</v>
      </c>
      <c r="D2828" t="str">
        <f t="shared" si="45"/>
        <v>FS7512160742,</v>
      </c>
    </row>
    <row r="2829" spans="3:4">
      <c r="C2829" t="s">
        <v>3195</v>
      </c>
      <c r="D2829" t="str">
        <f t="shared" si="45"/>
        <v>FS7512162622,</v>
      </c>
    </row>
    <row r="2830" spans="3:4">
      <c r="C2830" t="s">
        <v>2412</v>
      </c>
      <c r="D2830" t="str">
        <f t="shared" si="45"/>
        <v>FS7512174099,</v>
      </c>
    </row>
    <row r="2831" spans="3:4">
      <c r="C2831" t="s">
        <v>2512</v>
      </c>
      <c r="D2831" t="str">
        <f t="shared" si="45"/>
        <v>FS7512180537,</v>
      </c>
    </row>
    <row r="2832" spans="3:4">
      <c r="C2832" t="s">
        <v>3197</v>
      </c>
      <c r="D2832" t="str">
        <f t="shared" si="45"/>
        <v>FS7512182537,</v>
      </c>
    </row>
    <row r="2833" spans="3:4">
      <c r="C2833" t="s">
        <v>2427</v>
      </c>
      <c r="D2833" t="str">
        <f t="shared" si="45"/>
        <v>FS7512193417,</v>
      </c>
    </row>
    <row r="2834" spans="3:4">
      <c r="C2834" t="s">
        <v>2321</v>
      </c>
      <c r="D2834" t="str">
        <f t="shared" si="45"/>
        <v>FS7512193580,</v>
      </c>
    </row>
    <row r="2835" spans="3:4">
      <c r="C2835" t="s">
        <v>2300</v>
      </c>
      <c r="D2835" t="str">
        <f t="shared" si="45"/>
        <v>FS7512194685,</v>
      </c>
    </row>
    <row r="2836" spans="3:4">
      <c r="C2836" t="s">
        <v>2397</v>
      </c>
      <c r="D2836" t="str">
        <f t="shared" si="45"/>
        <v>FS7512205815,</v>
      </c>
    </row>
    <row r="2837" spans="3:4">
      <c r="C2837" t="s">
        <v>2532</v>
      </c>
      <c r="D2837" t="str">
        <f t="shared" si="45"/>
        <v>RR7503681617,</v>
      </c>
    </row>
    <row r="2838" spans="3:4">
      <c r="C2838" t="s">
        <v>3105</v>
      </c>
      <c r="D2838" t="str">
        <f t="shared" si="45"/>
        <v>GW9012036128,</v>
      </c>
    </row>
    <row r="2839" spans="3:4">
      <c r="C2839" t="s">
        <v>3033</v>
      </c>
      <c r="D2839" t="str">
        <f t="shared" si="45"/>
        <v>GW9011923607,</v>
      </c>
    </row>
    <row r="2840" spans="3:4">
      <c r="C2840" t="s">
        <v>3354</v>
      </c>
      <c r="D2840" t="str">
        <f t="shared" si="45"/>
        <v>GW7514770312,</v>
      </c>
    </row>
    <row r="2841" spans="3:4">
      <c r="C2841" t="s">
        <v>3269</v>
      </c>
      <c r="D2841" t="str">
        <f t="shared" si="45"/>
        <v>GW7514768216,</v>
      </c>
    </row>
    <row r="2842" spans="3:4">
      <c r="C2842" t="s">
        <v>2297</v>
      </c>
      <c r="D2842" t="str">
        <f t="shared" si="45"/>
        <v>GW7514772953,</v>
      </c>
    </row>
    <row r="2843" spans="3:4">
      <c r="C2843" t="s">
        <v>2449</v>
      </c>
      <c r="D2843" t="str">
        <f t="shared" si="45"/>
        <v>GW7514766316,</v>
      </c>
    </row>
    <row r="2844" spans="3:4">
      <c r="C2844" t="s">
        <v>2441</v>
      </c>
      <c r="D2844" t="str">
        <f t="shared" si="45"/>
        <v>GT9011033111,</v>
      </c>
    </row>
    <row r="2845" spans="3:4">
      <c r="C2845" t="s">
        <v>2415</v>
      </c>
      <c r="D2845" t="str">
        <f t="shared" si="45"/>
        <v>GT7514190272,</v>
      </c>
    </row>
    <row r="2846" spans="3:4">
      <c r="C2846" t="s">
        <v>2925</v>
      </c>
      <c r="D2846" t="str">
        <f t="shared" si="45"/>
        <v>HD7514716614,</v>
      </c>
    </row>
    <row r="2847" spans="3:4">
      <c r="C2847" t="s">
        <v>3199</v>
      </c>
      <c r="D2847" t="str">
        <f t="shared" ref="D2847:D2910" si="46">""&amp;C2847&amp;","</f>
        <v>HD7514720446,</v>
      </c>
    </row>
    <row r="2848" spans="3:4">
      <c r="C2848" t="s">
        <v>3355</v>
      </c>
      <c r="D2848" t="str">
        <f t="shared" si="46"/>
        <v>HD7514720518,</v>
      </c>
    </row>
    <row r="2849" spans="3:4">
      <c r="C2849" t="s">
        <v>3356</v>
      </c>
      <c r="D2849" t="str">
        <f t="shared" si="46"/>
        <v>HD7514722584,</v>
      </c>
    </row>
    <row r="2850" spans="3:4">
      <c r="C2850" t="s">
        <v>2388</v>
      </c>
      <c r="D2850" t="str">
        <f t="shared" si="46"/>
        <v>HD7514723328,</v>
      </c>
    </row>
    <row r="2851" spans="3:4">
      <c r="C2851" t="s">
        <v>1632</v>
      </c>
      <c r="D2851" t="str">
        <f t="shared" si="46"/>
        <v>ID9011564679,</v>
      </c>
    </row>
    <row r="2852" spans="3:4">
      <c r="C2852" t="s">
        <v>2166</v>
      </c>
      <c r="D2852" t="str">
        <f t="shared" si="46"/>
        <v>ID9011566134,</v>
      </c>
    </row>
    <row r="2853" spans="3:4">
      <c r="C2853" t="s">
        <v>1700</v>
      </c>
      <c r="D2853" t="str">
        <f t="shared" si="46"/>
        <v>ID9012004319,</v>
      </c>
    </row>
    <row r="2854" spans="3:4">
      <c r="C2854" t="s">
        <v>2313</v>
      </c>
      <c r="D2854" t="str">
        <f t="shared" si="46"/>
        <v>ID9011571501,</v>
      </c>
    </row>
    <row r="2855" spans="3:4">
      <c r="C2855" t="s">
        <v>2360</v>
      </c>
      <c r="D2855" t="str">
        <f t="shared" si="46"/>
        <v>ID9011571468,</v>
      </c>
    </row>
    <row r="2856" spans="3:4">
      <c r="C2856" t="s">
        <v>2491</v>
      </c>
      <c r="D2856" t="str">
        <f t="shared" si="46"/>
        <v>ID9011571467,</v>
      </c>
    </row>
    <row r="2857" spans="3:4">
      <c r="C2857" t="s">
        <v>1646</v>
      </c>
      <c r="D2857" t="str">
        <f t="shared" si="46"/>
        <v>ID9012013680,</v>
      </c>
    </row>
    <row r="2858" spans="3:4">
      <c r="C2858" t="s">
        <v>2330</v>
      </c>
      <c r="D2858" t="str">
        <f t="shared" si="46"/>
        <v>ID9011572622,</v>
      </c>
    </row>
    <row r="2859" spans="3:4">
      <c r="C2859" t="s">
        <v>2366</v>
      </c>
      <c r="D2859" t="str">
        <f t="shared" si="46"/>
        <v>ID9011572789,</v>
      </c>
    </row>
    <row r="2860" spans="3:4">
      <c r="C2860" t="s">
        <v>3176</v>
      </c>
      <c r="D2860" t="str">
        <f t="shared" si="46"/>
        <v>ID9012036884,</v>
      </c>
    </row>
    <row r="2861" spans="3:4">
      <c r="C2861" t="s">
        <v>3083</v>
      </c>
      <c r="D2861" t="str">
        <f t="shared" si="46"/>
        <v>ID9012038320,</v>
      </c>
    </row>
    <row r="2862" spans="3:4">
      <c r="C2862" t="s">
        <v>2365</v>
      </c>
      <c r="D2862" t="str">
        <f t="shared" si="46"/>
        <v>ID9012047819,</v>
      </c>
    </row>
    <row r="2863" spans="3:4">
      <c r="C2863" t="s">
        <v>2890</v>
      </c>
      <c r="D2863" t="str">
        <f t="shared" si="46"/>
        <v>ID9012064964,</v>
      </c>
    </row>
    <row r="2864" spans="3:4">
      <c r="C2864" t="s">
        <v>2324</v>
      </c>
      <c r="D2864" t="str">
        <f t="shared" si="46"/>
        <v>ID9012086650,</v>
      </c>
    </row>
    <row r="2865" spans="3:4">
      <c r="C2865" t="s">
        <v>3049</v>
      </c>
      <c r="D2865" t="str">
        <f t="shared" si="46"/>
        <v>ID7512528244,</v>
      </c>
    </row>
    <row r="2866" spans="3:4">
      <c r="C2866" t="s">
        <v>3200</v>
      </c>
      <c r="D2866" t="str">
        <f t="shared" si="46"/>
        <v>ID7512531792,</v>
      </c>
    </row>
    <row r="2867" spans="3:4">
      <c r="C2867" t="s">
        <v>3154</v>
      </c>
      <c r="D2867" t="str">
        <f t="shared" si="46"/>
        <v>ID7512531983,</v>
      </c>
    </row>
    <row r="2868" spans="3:4">
      <c r="C2868" t="s">
        <v>3245</v>
      </c>
      <c r="D2868" t="str">
        <f t="shared" si="46"/>
        <v>ID7501542846,</v>
      </c>
    </row>
    <row r="2869" spans="3:4">
      <c r="C2869" t="s">
        <v>1943</v>
      </c>
      <c r="D2869" t="str">
        <f t="shared" si="46"/>
        <v>ID7512535769,</v>
      </c>
    </row>
    <row r="2870" spans="3:4">
      <c r="C2870" t="s">
        <v>3175</v>
      </c>
      <c r="D2870" t="str">
        <f t="shared" si="46"/>
        <v>ID7512538741,</v>
      </c>
    </row>
    <row r="2871" spans="3:4">
      <c r="C2871" t="s">
        <v>3138</v>
      </c>
      <c r="D2871" t="str">
        <f t="shared" si="46"/>
        <v>ID7512539840,</v>
      </c>
    </row>
    <row r="2872" spans="3:4">
      <c r="C2872" t="s">
        <v>3357</v>
      </c>
      <c r="D2872" t="str">
        <f t="shared" si="46"/>
        <v>ID7512542124,</v>
      </c>
    </row>
    <row r="2873" spans="3:4">
      <c r="C2873" t="s">
        <v>3358</v>
      </c>
      <c r="D2873" t="str">
        <f t="shared" si="46"/>
        <v>ID7512543087,</v>
      </c>
    </row>
    <row r="2874" spans="3:4">
      <c r="C2874" t="s">
        <v>2346</v>
      </c>
      <c r="D2874" t="str">
        <f t="shared" si="46"/>
        <v>ID7512545870,</v>
      </c>
    </row>
    <row r="2875" spans="3:4">
      <c r="C2875" t="s">
        <v>3155</v>
      </c>
      <c r="D2875" t="str">
        <f t="shared" si="46"/>
        <v>ID7512533324,</v>
      </c>
    </row>
    <row r="2876" spans="3:4">
      <c r="C2876" t="s">
        <v>2144</v>
      </c>
      <c r="D2876" t="str">
        <f t="shared" si="46"/>
        <v>ID7512534992,</v>
      </c>
    </row>
    <row r="2877" spans="3:4">
      <c r="C2877" t="s">
        <v>3120</v>
      </c>
      <c r="D2877" t="str">
        <f t="shared" si="46"/>
        <v>ID7512538229,</v>
      </c>
    </row>
    <row r="2878" spans="3:4">
      <c r="C2878" t="s">
        <v>2490</v>
      </c>
      <c r="D2878" t="str">
        <f t="shared" si="46"/>
        <v>ID7512539637,</v>
      </c>
    </row>
    <row r="2879" spans="3:4">
      <c r="C2879" t="s">
        <v>2304</v>
      </c>
      <c r="D2879" t="str">
        <f t="shared" si="46"/>
        <v>ID7512540429,</v>
      </c>
    </row>
    <row r="2880" spans="3:4">
      <c r="C2880" t="s">
        <v>2563</v>
      </c>
      <c r="D2880" t="str">
        <f t="shared" si="46"/>
        <v>ID7512546140,</v>
      </c>
    </row>
    <row r="2881" spans="3:4">
      <c r="C2881" t="s">
        <v>3373</v>
      </c>
      <c r="D2881" t="str">
        <f t="shared" si="46"/>
        <v>ID7512540085,</v>
      </c>
    </row>
    <row r="2882" spans="3:4">
      <c r="C2882" t="s">
        <v>3222</v>
      </c>
      <c r="D2882" t="str">
        <f t="shared" si="46"/>
        <v>ID7512542430,</v>
      </c>
    </row>
    <row r="2883" spans="3:4">
      <c r="C2883" t="s">
        <v>3346</v>
      </c>
      <c r="D2883" t="str">
        <f t="shared" si="46"/>
        <v>ID7512542956,</v>
      </c>
    </row>
    <row r="2884" spans="3:4">
      <c r="C2884" t="s">
        <v>2367</v>
      </c>
      <c r="D2884" t="str">
        <f t="shared" si="46"/>
        <v>ID7512548134,</v>
      </c>
    </row>
    <row r="2885" spans="3:4">
      <c r="C2885" t="s">
        <v>2938</v>
      </c>
      <c r="D2885" t="str">
        <f t="shared" si="46"/>
        <v>ID7512538780,</v>
      </c>
    </row>
    <row r="2886" spans="3:4">
      <c r="C2886" t="s">
        <v>1703</v>
      </c>
      <c r="D2886" t="str">
        <f t="shared" si="46"/>
        <v>JR9011800101,</v>
      </c>
    </row>
    <row r="2887" spans="3:4">
      <c r="C2887" t="s">
        <v>3313</v>
      </c>
      <c r="D2887" t="str">
        <f t="shared" si="46"/>
        <v>JR7513596608,</v>
      </c>
    </row>
    <row r="2888" spans="3:4">
      <c r="C2888" t="s">
        <v>2417</v>
      </c>
      <c r="D2888" t="str">
        <f t="shared" si="46"/>
        <v>JR7513596915,</v>
      </c>
    </row>
    <row r="2889" spans="3:4">
      <c r="C2889" t="s">
        <v>2302</v>
      </c>
      <c r="D2889" t="str">
        <f t="shared" si="46"/>
        <v>JD7504341082,</v>
      </c>
    </row>
    <row r="2890" spans="3:4">
      <c r="C2890" t="s">
        <v>2190</v>
      </c>
      <c r="D2890" t="str">
        <f t="shared" si="46"/>
        <v>JD7504340920,</v>
      </c>
    </row>
    <row r="2891" spans="3:4">
      <c r="C2891" t="s">
        <v>3223</v>
      </c>
      <c r="D2891" t="str">
        <f t="shared" si="46"/>
        <v>JG7503726582,</v>
      </c>
    </row>
    <row r="2892" spans="3:4">
      <c r="C2892" t="s">
        <v>3312</v>
      </c>
      <c r="D2892" t="str">
        <f t="shared" si="46"/>
        <v>JG7503726732,</v>
      </c>
    </row>
    <row r="2893" spans="3:4">
      <c r="C2893" t="s">
        <v>3374</v>
      </c>
      <c r="D2893" t="str">
        <f t="shared" si="46"/>
        <v>JG7503726836,</v>
      </c>
    </row>
    <row r="2894" spans="3:4">
      <c r="C2894" t="s">
        <v>2249</v>
      </c>
      <c r="D2894" t="str">
        <f t="shared" si="46"/>
        <v>JG7503726851,</v>
      </c>
    </row>
    <row r="2895" spans="3:4">
      <c r="C2895" t="s">
        <v>3375</v>
      </c>
      <c r="D2895" t="str">
        <f t="shared" si="46"/>
        <v>JG7503727177,</v>
      </c>
    </row>
    <row r="2896" spans="3:4">
      <c r="C2896" t="s">
        <v>2188</v>
      </c>
      <c r="D2896" t="str">
        <f t="shared" si="46"/>
        <v>AM7513841183,</v>
      </c>
    </row>
    <row r="2897" spans="3:4">
      <c r="C2897" t="s">
        <v>2921</v>
      </c>
      <c r="D2897" t="str">
        <f t="shared" si="46"/>
        <v>AM7513837907,</v>
      </c>
    </row>
    <row r="2898" spans="3:4">
      <c r="C2898" t="s">
        <v>2936</v>
      </c>
      <c r="D2898" t="str">
        <f t="shared" si="46"/>
        <v>AM7513840587,</v>
      </c>
    </row>
    <row r="2899" spans="3:4">
      <c r="C2899" t="s">
        <v>3048</v>
      </c>
      <c r="D2899" t="str">
        <f t="shared" si="46"/>
        <v>AM7513838304,</v>
      </c>
    </row>
    <row r="2900" spans="3:4">
      <c r="C2900" t="s">
        <v>3369</v>
      </c>
      <c r="D2900" t="str">
        <f t="shared" si="46"/>
        <v>AM7513777544,</v>
      </c>
    </row>
    <row r="2901" spans="3:4">
      <c r="C2901" t="s">
        <v>2620</v>
      </c>
      <c r="D2901" t="str">
        <f t="shared" si="46"/>
        <v>KI0069913233,</v>
      </c>
    </row>
    <row r="2902" spans="3:4">
      <c r="C2902" t="s">
        <v>3096</v>
      </c>
      <c r="D2902" t="str">
        <f t="shared" si="46"/>
        <v>KI0065325070,</v>
      </c>
    </row>
    <row r="2903" spans="3:4">
      <c r="C2903" t="s">
        <v>2564</v>
      </c>
      <c r="D2903" t="str">
        <f t="shared" si="46"/>
        <v>KI0065306464,</v>
      </c>
    </row>
    <row r="2904" spans="3:4">
      <c r="C2904" t="s">
        <v>2325</v>
      </c>
      <c r="D2904" t="str">
        <f t="shared" si="46"/>
        <v>KI0065279358,</v>
      </c>
    </row>
    <row r="2905" spans="3:4">
      <c r="C2905" t="s">
        <v>3086</v>
      </c>
      <c r="D2905" t="str">
        <f t="shared" si="46"/>
        <v>KI9012175520,</v>
      </c>
    </row>
    <row r="2906" spans="3:4">
      <c r="C2906" t="s">
        <v>3107</v>
      </c>
      <c r="D2906" t="str">
        <f t="shared" si="46"/>
        <v>KI9012197506,</v>
      </c>
    </row>
    <row r="2907" spans="3:4">
      <c r="C2907" t="s">
        <v>1824</v>
      </c>
      <c r="D2907" t="str">
        <f t="shared" si="46"/>
        <v>KI9012197332,</v>
      </c>
    </row>
    <row r="2908" spans="3:4">
      <c r="C2908" t="s">
        <v>1840</v>
      </c>
      <c r="D2908" t="str">
        <f t="shared" si="46"/>
        <v>KI9012000041,</v>
      </c>
    </row>
    <row r="2909" spans="3:4">
      <c r="C2909" t="s">
        <v>1843</v>
      </c>
      <c r="D2909" t="str">
        <f t="shared" si="46"/>
        <v>KI9012198806,</v>
      </c>
    </row>
    <row r="2910" spans="3:4">
      <c r="C2910" t="s">
        <v>2993</v>
      </c>
      <c r="D2910" t="str">
        <f t="shared" si="46"/>
        <v>KI9011032905,</v>
      </c>
    </row>
    <row r="2911" spans="3:4">
      <c r="C2911" t="s">
        <v>1883</v>
      </c>
      <c r="D2911" t="str">
        <f t="shared" ref="D2911:D2974" si="47">""&amp;C2911&amp;","</f>
        <v>KI9012004475,</v>
      </c>
    </row>
    <row r="2912" spans="3:4">
      <c r="C2912" t="s">
        <v>3064</v>
      </c>
      <c r="D2912" t="str">
        <f t="shared" si="47"/>
        <v>KI9012007480,</v>
      </c>
    </row>
    <row r="2913" spans="3:4">
      <c r="C2913" t="s">
        <v>2193</v>
      </c>
      <c r="D2913" t="str">
        <f t="shared" si="47"/>
        <v>KI9012009222,</v>
      </c>
    </row>
    <row r="2914" spans="3:4">
      <c r="C2914" t="s">
        <v>3065</v>
      </c>
      <c r="D2914" t="str">
        <f t="shared" si="47"/>
        <v>KI9012010494,</v>
      </c>
    </row>
    <row r="2915" spans="3:4">
      <c r="C2915" t="s">
        <v>2929</v>
      </c>
      <c r="D2915" t="str">
        <f t="shared" si="47"/>
        <v>KI9011033078,</v>
      </c>
    </row>
    <row r="2916" spans="3:4">
      <c r="C2916" t="s">
        <v>3097</v>
      </c>
      <c r="D2916" t="str">
        <f t="shared" si="47"/>
        <v>KI9012015626,</v>
      </c>
    </row>
    <row r="2917" spans="3:4">
      <c r="C2917" t="s">
        <v>3084</v>
      </c>
      <c r="D2917" t="str">
        <f t="shared" si="47"/>
        <v>KI9012009539,</v>
      </c>
    </row>
    <row r="2918" spans="3:4">
      <c r="C2918" t="s">
        <v>3093</v>
      </c>
      <c r="D2918" t="str">
        <f t="shared" si="47"/>
        <v>KI9012017492,</v>
      </c>
    </row>
    <row r="2919" spans="3:4">
      <c r="C2919" t="s">
        <v>1948</v>
      </c>
      <c r="D2919" t="str">
        <f t="shared" si="47"/>
        <v>KI9012023006,</v>
      </c>
    </row>
    <row r="2920" spans="3:4">
      <c r="C2920" t="s">
        <v>2063</v>
      </c>
      <c r="D2920" t="str">
        <f t="shared" si="47"/>
        <v>KI9012023173,</v>
      </c>
    </row>
    <row r="2921" spans="3:4">
      <c r="C2921" t="s">
        <v>1969</v>
      </c>
      <c r="D2921" t="str">
        <f t="shared" si="47"/>
        <v>KI9012023236,</v>
      </c>
    </row>
    <row r="2922" spans="3:4">
      <c r="C2922" t="s">
        <v>2022</v>
      </c>
      <c r="D2922" t="str">
        <f t="shared" si="47"/>
        <v>KI9012024416,</v>
      </c>
    </row>
    <row r="2923" spans="3:4">
      <c r="C2923" t="s">
        <v>2069</v>
      </c>
      <c r="D2923" t="str">
        <f t="shared" si="47"/>
        <v>KI9012020985,</v>
      </c>
    </row>
    <row r="2924" spans="3:4">
      <c r="C2924" t="s">
        <v>2055</v>
      </c>
      <c r="D2924" t="str">
        <f t="shared" si="47"/>
        <v>KI9012025499,</v>
      </c>
    </row>
    <row r="2925" spans="3:4">
      <c r="C2925" t="s">
        <v>1913</v>
      </c>
      <c r="D2925" t="str">
        <f t="shared" si="47"/>
        <v>KI9012028146,</v>
      </c>
    </row>
    <row r="2926" spans="3:4">
      <c r="C2926" t="s">
        <v>3284</v>
      </c>
      <c r="D2926" t="str">
        <f t="shared" si="47"/>
        <v>KI9012028319,</v>
      </c>
    </row>
    <row r="2927" spans="3:4">
      <c r="C2927" t="s">
        <v>3297</v>
      </c>
      <c r="D2927" t="str">
        <f t="shared" si="47"/>
        <v>KI9012028515,</v>
      </c>
    </row>
    <row r="2928" spans="3:4">
      <c r="C2928" t="s">
        <v>2569</v>
      </c>
      <c r="D2928" t="str">
        <f t="shared" si="47"/>
        <v>KI9012030182,</v>
      </c>
    </row>
    <row r="2929" spans="3:4">
      <c r="C2929" t="s">
        <v>1967</v>
      </c>
      <c r="D2929" t="str">
        <f t="shared" si="47"/>
        <v>KI9012030552,</v>
      </c>
    </row>
    <row r="2930" spans="3:4">
      <c r="C2930" t="s">
        <v>1959</v>
      </c>
      <c r="D2930" t="str">
        <f t="shared" si="47"/>
        <v>KI9012028801,</v>
      </c>
    </row>
    <row r="2931" spans="3:4">
      <c r="C2931" t="s">
        <v>2172</v>
      </c>
      <c r="D2931" t="str">
        <f t="shared" si="47"/>
        <v>KI9012032247,</v>
      </c>
    </row>
    <row r="2932" spans="3:4">
      <c r="C2932" t="s">
        <v>3207</v>
      </c>
      <c r="D2932" t="str">
        <f t="shared" si="47"/>
        <v>KI9012033459,</v>
      </c>
    </row>
    <row r="2933" spans="3:4">
      <c r="C2933" t="s">
        <v>2016</v>
      </c>
      <c r="D2933" t="str">
        <f t="shared" si="47"/>
        <v>KI9012037503,</v>
      </c>
    </row>
    <row r="2934" spans="3:4">
      <c r="C2934" t="s">
        <v>2146</v>
      </c>
      <c r="D2934" t="str">
        <f t="shared" si="47"/>
        <v>KI9012037910,</v>
      </c>
    </row>
    <row r="2935" spans="3:4">
      <c r="C2935" t="s">
        <v>2001</v>
      </c>
      <c r="D2935" t="str">
        <f t="shared" si="47"/>
        <v>KI9012037945,</v>
      </c>
    </row>
    <row r="2936" spans="3:4">
      <c r="C2936" t="s">
        <v>1925</v>
      </c>
      <c r="D2936" t="str">
        <f t="shared" si="47"/>
        <v>KI9012039268,</v>
      </c>
    </row>
    <row r="2937" spans="3:4">
      <c r="C2937" t="s">
        <v>3017</v>
      </c>
      <c r="D2937" t="str">
        <f t="shared" si="47"/>
        <v>KI9012036030,</v>
      </c>
    </row>
    <row r="2938" spans="3:4">
      <c r="C2938" t="s">
        <v>1915</v>
      </c>
      <c r="D2938" t="str">
        <f t="shared" si="47"/>
        <v>KI9012041824,</v>
      </c>
    </row>
    <row r="2939" spans="3:4">
      <c r="C2939" t="s">
        <v>2573</v>
      </c>
      <c r="D2939" t="str">
        <f t="shared" si="47"/>
        <v>KI9012041867,</v>
      </c>
    </row>
    <row r="2940" spans="3:4">
      <c r="C2940" t="s">
        <v>1926</v>
      </c>
      <c r="D2940" t="str">
        <f t="shared" si="47"/>
        <v>KI9012043622,</v>
      </c>
    </row>
    <row r="2941" spans="3:4">
      <c r="C2941" t="s">
        <v>3281</v>
      </c>
      <c r="D2941" t="str">
        <f t="shared" si="47"/>
        <v>KI9012045209,</v>
      </c>
    </row>
    <row r="2942" spans="3:4">
      <c r="C2942" t="s">
        <v>2141</v>
      </c>
      <c r="D2942" t="str">
        <f t="shared" si="47"/>
        <v>KI9012047206,</v>
      </c>
    </row>
    <row r="2943" spans="3:4">
      <c r="C2943" t="s">
        <v>2157</v>
      </c>
      <c r="D2943" t="str">
        <f t="shared" si="47"/>
        <v>KI9012049827,</v>
      </c>
    </row>
    <row r="2944" spans="3:4">
      <c r="C2944" t="s">
        <v>3124</v>
      </c>
      <c r="D2944" t="str">
        <f t="shared" si="47"/>
        <v>KI9012049858,</v>
      </c>
    </row>
    <row r="2945" spans="3:4">
      <c r="C2945" t="s">
        <v>2568</v>
      </c>
      <c r="D2945" t="str">
        <f t="shared" si="47"/>
        <v>KI9012029988,</v>
      </c>
    </row>
    <row r="2946" spans="3:4">
      <c r="C2946" t="s">
        <v>2522</v>
      </c>
      <c r="D2946" t="str">
        <f t="shared" si="47"/>
        <v>KI9012052769,</v>
      </c>
    </row>
    <row r="2947" spans="3:4">
      <c r="C2947" t="s">
        <v>2896</v>
      </c>
      <c r="D2947" t="str">
        <f t="shared" si="47"/>
        <v>KI9011923287,</v>
      </c>
    </row>
    <row r="2948" spans="3:4">
      <c r="C2948" t="s">
        <v>2469</v>
      </c>
      <c r="D2948" t="str">
        <f t="shared" si="47"/>
        <v>KI9012054946,</v>
      </c>
    </row>
    <row r="2949" spans="3:4">
      <c r="C2949" t="s">
        <v>2523</v>
      </c>
      <c r="D2949" t="str">
        <f t="shared" si="47"/>
        <v>KI9012054951,</v>
      </c>
    </row>
    <row r="2950" spans="3:4">
      <c r="C2950" t="s">
        <v>2470</v>
      </c>
      <c r="D2950" t="str">
        <f t="shared" si="47"/>
        <v>KI9012054948,</v>
      </c>
    </row>
    <row r="2951" spans="3:4">
      <c r="C2951" t="s">
        <v>2471</v>
      </c>
      <c r="D2951" t="str">
        <f t="shared" si="47"/>
        <v>KI9012055592,</v>
      </c>
    </row>
    <row r="2952" spans="3:4">
      <c r="C2952" t="s">
        <v>3291</v>
      </c>
      <c r="D2952" t="str">
        <f t="shared" si="47"/>
        <v>KI9012052463,</v>
      </c>
    </row>
    <row r="2953" spans="3:4">
      <c r="C2953" t="s">
        <v>2576</v>
      </c>
      <c r="D2953" t="str">
        <f t="shared" si="47"/>
        <v>KI9012057489,</v>
      </c>
    </row>
    <row r="2954" spans="3:4">
      <c r="C2954" t="s">
        <v>2456</v>
      </c>
      <c r="D2954" t="str">
        <f t="shared" si="47"/>
        <v>KI9012050807,</v>
      </c>
    </row>
    <row r="2955" spans="3:4">
      <c r="C2955" t="s">
        <v>2524</v>
      </c>
      <c r="D2955" t="str">
        <f t="shared" si="47"/>
        <v>KI9012057972,</v>
      </c>
    </row>
    <row r="2956" spans="3:4">
      <c r="C2956" t="s">
        <v>2499</v>
      </c>
      <c r="D2956" t="str">
        <f t="shared" si="47"/>
        <v>KI9012060009,</v>
      </c>
    </row>
    <row r="2957" spans="3:4">
      <c r="C2957" t="s">
        <v>2289</v>
      </c>
      <c r="D2957" t="str">
        <f t="shared" si="47"/>
        <v>KI9012060664,</v>
      </c>
    </row>
    <row r="2958" spans="3:4">
      <c r="C2958" t="s">
        <v>3287</v>
      </c>
      <c r="D2958" t="str">
        <f t="shared" si="47"/>
        <v>KI9012061818,</v>
      </c>
    </row>
    <row r="2959" spans="3:4">
      <c r="C2959" t="s">
        <v>2501</v>
      </c>
      <c r="D2959" t="str">
        <f t="shared" si="47"/>
        <v>KI9012062034,</v>
      </c>
    </row>
    <row r="2960" spans="3:4">
      <c r="C2960" t="s">
        <v>2420</v>
      </c>
      <c r="D2960" t="str">
        <f t="shared" si="47"/>
        <v>KI9012059870,</v>
      </c>
    </row>
    <row r="2961" spans="3:4">
      <c r="C2961" t="s">
        <v>2371</v>
      </c>
      <c r="D2961" t="str">
        <f t="shared" si="47"/>
        <v>KI9012063451,</v>
      </c>
    </row>
    <row r="2962" spans="3:4">
      <c r="C2962" t="s">
        <v>2354</v>
      </c>
      <c r="D2962" t="str">
        <f t="shared" si="47"/>
        <v>KI9012064232,</v>
      </c>
    </row>
    <row r="2963" spans="3:4">
      <c r="C2963" t="s">
        <v>2459</v>
      </c>
      <c r="D2963" t="str">
        <f t="shared" si="47"/>
        <v>KI9012064624,</v>
      </c>
    </row>
    <row r="2964" spans="3:4">
      <c r="C2964" t="s">
        <v>2472</v>
      </c>
      <c r="D2964" t="str">
        <f t="shared" si="47"/>
        <v>KI9012056255,</v>
      </c>
    </row>
    <row r="2965" spans="3:4">
      <c r="C2965" t="s">
        <v>2320</v>
      </c>
      <c r="D2965" t="str">
        <f t="shared" si="47"/>
        <v>KI9012066915,</v>
      </c>
    </row>
    <row r="2966" spans="3:4">
      <c r="C2966" t="s">
        <v>2310</v>
      </c>
      <c r="D2966" t="str">
        <f t="shared" si="47"/>
        <v>KI9012068396,</v>
      </c>
    </row>
    <row r="2967" spans="3:4">
      <c r="C2967" t="s">
        <v>2386</v>
      </c>
      <c r="D2967" t="str">
        <f t="shared" si="47"/>
        <v>KI9012068405,</v>
      </c>
    </row>
    <row r="2968" spans="3:4">
      <c r="C2968" t="s">
        <v>2526</v>
      </c>
      <c r="D2968" t="str">
        <f t="shared" si="47"/>
        <v>KI9012069135,</v>
      </c>
    </row>
    <row r="2969" spans="3:4">
      <c r="C2969" t="s">
        <v>2527</v>
      </c>
      <c r="D2969" t="str">
        <f t="shared" si="47"/>
        <v>KI9012069275,</v>
      </c>
    </row>
    <row r="2970" spans="3:4">
      <c r="C2970" t="s">
        <v>2486</v>
      </c>
      <c r="D2970" t="str">
        <f t="shared" si="47"/>
        <v>KI9012069396,</v>
      </c>
    </row>
    <row r="2971" spans="3:4">
      <c r="C2971" t="s">
        <v>2369</v>
      </c>
      <c r="D2971" t="str">
        <f t="shared" si="47"/>
        <v>KI9012070781,</v>
      </c>
    </row>
    <row r="2972" spans="3:4">
      <c r="C2972" t="s">
        <v>2328</v>
      </c>
      <c r="D2972" t="str">
        <f t="shared" si="47"/>
        <v>KI9012071591,</v>
      </c>
    </row>
    <row r="2973" spans="3:4">
      <c r="C2973" t="s">
        <v>2461</v>
      </c>
      <c r="D2973" t="str">
        <f t="shared" si="47"/>
        <v>KI9012071682,</v>
      </c>
    </row>
    <row r="2974" spans="3:4">
      <c r="C2974" t="s">
        <v>2318</v>
      </c>
      <c r="D2974" t="str">
        <f t="shared" si="47"/>
        <v>KI9012071998,</v>
      </c>
    </row>
    <row r="2975" spans="3:4">
      <c r="C2975" t="s">
        <v>2528</v>
      </c>
      <c r="D2975" t="str">
        <f t="shared" ref="D2975:D3038" si="48">""&amp;C2975&amp;","</f>
        <v>KI9012070397,</v>
      </c>
    </row>
    <row r="2976" spans="3:4">
      <c r="C2976" t="s">
        <v>2544</v>
      </c>
      <c r="D2976" t="str">
        <f t="shared" si="48"/>
        <v>KI9012073333,</v>
      </c>
    </row>
    <row r="2977" spans="3:4">
      <c r="C2977" t="s">
        <v>2685</v>
      </c>
      <c r="D2977" t="str">
        <f t="shared" si="48"/>
        <v>KI7500301358,</v>
      </c>
    </row>
    <row r="2978" spans="3:4">
      <c r="C2978" t="s">
        <v>2686</v>
      </c>
      <c r="D2978" t="str">
        <f t="shared" si="48"/>
        <v>KI7500301412,</v>
      </c>
    </row>
    <row r="2979" spans="3:4">
      <c r="C2979" t="s">
        <v>3106</v>
      </c>
      <c r="D2979" t="str">
        <f t="shared" si="48"/>
        <v>KI7508742661,</v>
      </c>
    </row>
    <row r="2980" spans="3:4">
      <c r="C2980" t="s">
        <v>3237</v>
      </c>
      <c r="D2980" t="str">
        <f t="shared" si="48"/>
        <v>KI7508788657,</v>
      </c>
    </row>
    <row r="2981" spans="3:4">
      <c r="C2981" t="s">
        <v>3301</v>
      </c>
      <c r="D2981" t="str">
        <f t="shared" si="48"/>
        <v>KI7508795553,</v>
      </c>
    </row>
    <row r="2982" spans="3:4">
      <c r="C2982" t="s">
        <v>3015</v>
      </c>
      <c r="D2982" t="str">
        <f t="shared" si="48"/>
        <v>KI7508819710,</v>
      </c>
    </row>
    <row r="2983" spans="3:4">
      <c r="C2983" t="s">
        <v>3051</v>
      </c>
      <c r="D2983" t="str">
        <f t="shared" si="48"/>
        <v>KI7508850672,</v>
      </c>
    </row>
    <row r="2984" spans="3:4">
      <c r="C2984" t="s">
        <v>3302</v>
      </c>
      <c r="D2984" t="str">
        <f t="shared" si="48"/>
        <v>KI7508852292,</v>
      </c>
    </row>
    <row r="2985" spans="3:4">
      <c r="C2985" t="s">
        <v>3180</v>
      </c>
      <c r="D2985" t="str">
        <f t="shared" si="48"/>
        <v>KI7508876525,</v>
      </c>
    </row>
    <row r="2986" spans="3:4">
      <c r="C2986" t="s">
        <v>3308</v>
      </c>
      <c r="D2986" t="str">
        <f t="shared" si="48"/>
        <v>KI7508880689,</v>
      </c>
    </row>
    <row r="2987" spans="3:4">
      <c r="C2987" t="s">
        <v>2494</v>
      </c>
      <c r="D2987" t="str">
        <f t="shared" si="48"/>
        <v>KI7508893620,</v>
      </c>
    </row>
    <row r="2988" spans="3:4">
      <c r="C2988" t="s">
        <v>3235</v>
      </c>
      <c r="D2988" t="str">
        <f t="shared" si="48"/>
        <v>KI7500319312,</v>
      </c>
    </row>
    <row r="2989" spans="3:4">
      <c r="C2989" t="s">
        <v>3378</v>
      </c>
      <c r="D2989" t="str">
        <f t="shared" si="48"/>
        <v>KI7508906257,</v>
      </c>
    </row>
    <row r="2990" spans="3:4">
      <c r="C2990" t="s">
        <v>3362</v>
      </c>
      <c r="D2990" t="str">
        <f t="shared" si="48"/>
        <v>KI7508918610,</v>
      </c>
    </row>
    <row r="2991" spans="3:4">
      <c r="C2991" t="s">
        <v>2373</v>
      </c>
      <c r="D2991" t="str">
        <f t="shared" si="48"/>
        <v>KI7508940345,</v>
      </c>
    </row>
    <row r="2992" spans="3:4">
      <c r="C2992" t="s">
        <v>2495</v>
      </c>
      <c r="D2992" t="str">
        <f t="shared" si="48"/>
        <v>KI7508951369,</v>
      </c>
    </row>
    <row r="2993" spans="3:4">
      <c r="C2993" t="s">
        <v>2381</v>
      </c>
      <c r="D2993" t="str">
        <f t="shared" si="48"/>
        <v>KI7508953126,</v>
      </c>
    </row>
    <row r="2994" spans="3:4">
      <c r="C2994" t="s">
        <v>3366</v>
      </c>
      <c r="D2994" t="str">
        <f t="shared" si="48"/>
        <v>KI7508954122,</v>
      </c>
    </row>
    <row r="2995" spans="3:4">
      <c r="C2995" t="s">
        <v>2548</v>
      </c>
      <c r="D2995" t="str">
        <f t="shared" si="48"/>
        <v>KI7500326693,</v>
      </c>
    </row>
    <row r="2996" spans="3:4">
      <c r="C2996" t="s">
        <v>2771</v>
      </c>
      <c r="D2996" t="str">
        <f t="shared" si="48"/>
        <v>KI7510059658,</v>
      </c>
    </row>
    <row r="2997" spans="3:4">
      <c r="C2997" t="s">
        <v>2074</v>
      </c>
      <c r="D2997" t="str">
        <f t="shared" si="48"/>
        <v>KI7508568450,</v>
      </c>
    </row>
    <row r="2998" spans="3:4">
      <c r="C2998" t="s">
        <v>3259</v>
      </c>
      <c r="D2998" t="str">
        <f t="shared" si="48"/>
        <v>KI7508688091,</v>
      </c>
    </row>
    <row r="2999" spans="3:4">
      <c r="C2999" t="s">
        <v>2780</v>
      </c>
      <c r="D2999" t="str">
        <f t="shared" si="48"/>
        <v>KI7508714752,</v>
      </c>
    </row>
    <row r="3000" spans="3:4">
      <c r="C3000" t="s">
        <v>2861</v>
      </c>
      <c r="D3000" t="str">
        <f t="shared" si="48"/>
        <v>KI7508724142,</v>
      </c>
    </row>
    <row r="3001" spans="3:4">
      <c r="C3001" t="s">
        <v>2376</v>
      </c>
      <c r="D3001" t="str">
        <f t="shared" si="48"/>
        <v>KI7508729155,</v>
      </c>
    </row>
    <row r="3002" spans="3:4">
      <c r="C3002" t="s">
        <v>4311</v>
      </c>
      <c r="D3002" t="str">
        <f t="shared" si="48"/>
        <v>TK9011937041,</v>
      </c>
    </row>
    <row r="3003" spans="3:4">
      <c r="C3003" t="s">
        <v>1878</v>
      </c>
      <c r="D3003" t="str">
        <f t="shared" si="48"/>
        <v>KI7508733416,</v>
      </c>
    </row>
    <row r="3004" spans="3:4">
      <c r="C3004" t="s">
        <v>3179</v>
      </c>
      <c r="D3004" t="str">
        <f t="shared" si="48"/>
        <v>KI7508738717,</v>
      </c>
    </row>
    <row r="3005" spans="3:4">
      <c r="C3005" t="s">
        <v>3092</v>
      </c>
      <c r="D3005" t="str">
        <f t="shared" si="48"/>
        <v>KI7508744859,</v>
      </c>
    </row>
    <row r="3006" spans="3:4">
      <c r="C3006" t="s">
        <v>2775</v>
      </c>
      <c r="D3006" t="str">
        <f t="shared" si="48"/>
        <v>KI7500303913,</v>
      </c>
    </row>
    <row r="3007" spans="3:4">
      <c r="C3007" t="s">
        <v>2690</v>
      </c>
      <c r="D3007" t="str">
        <f t="shared" si="48"/>
        <v>KI7508749308,</v>
      </c>
    </row>
    <row r="3008" spans="3:4">
      <c r="C3008" t="s">
        <v>2669</v>
      </c>
      <c r="D3008" t="str">
        <f t="shared" si="48"/>
        <v>KI7508750741,</v>
      </c>
    </row>
    <row r="3009" spans="3:4">
      <c r="C3009" t="s">
        <v>2659</v>
      </c>
      <c r="D3009" t="str">
        <f t="shared" si="48"/>
        <v>KI7508752278,</v>
      </c>
    </row>
    <row r="3010" spans="3:4">
      <c r="C3010" t="s">
        <v>2729</v>
      </c>
      <c r="D3010" t="str">
        <f t="shared" si="48"/>
        <v>KI7508760344,</v>
      </c>
    </row>
    <row r="3011" spans="3:4">
      <c r="C3011" t="s">
        <v>3050</v>
      </c>
      <c r="D3011" t="str">
        <f t="shared" si="48"/>
        <v>KI7508765556,</v>
      </c>
    </row>
    <row r="3012" spans="3:4">
      <c r="C3012" t="s">
        <v>3236</v>
      </c>
      <c r="D3012" t="str">
        <f t="shared" si="48"/>
        <v>KI7508768810,</v>
      </c>
    </row>
    <row r="3013" spans="3:4">
      <c r="C3013" t="s">
        <v>2991</v>
      </c>
      <c r="D3013" t="str">
        <f t="shared" si="48"/>
        <v>KI7508773188,</v>
      </c>
    </row>
    <row r="3014" spans="3:4">
      <c r="C3014" t="s">
        <v>2374</v>
      </c>
      <c r="D3014" t="str">
        <f t="shared" si="48"/>
        <v>KI7508773894,</v>
      </c>
    </row>
    <row r="3015" spans="3:4">
      <c r="C3015" t="s">
        <v>2951</v>
      </c>
      <c r="D3015" t="str">
        <f t="shared" si="48"/>
        <v>KI7508775337,</v>
      </c>
    </row>
    <row r="3016" spans="3:4">
      <c r="C3016" t="s">
        <v>3043</v>
      </c>
      <c r="D3016" t="str">
        <f t="shared" si="48"/>
        <v>KI7508775601,</v>
      </c>
    </row>
    <row r="3017" spans="3:4">
      <c r="C3017" t="s">
        <v>2743</v>
      </c>
      <c r="D3017" t="str">
        <f t="shared" si="48"/>
        <v>KI7500307509,</v>
      </c>
    </row>
    <row r="3018" spans="3:4">
      <c r="C3018" t="s">
        <v>2952</v>
      </c>
      <c r="D3018" t="str">
        <f t="shared" si="48"/>
        <v>KI7508779244,</v>
      </c>
    </row>
    <row r="3019" spans="3:4">
      <c r="C3019" t="s">
        <v>3044</v>
      </c>
      <c r="D3019" t="str">
        <f t="shared" si="48"/>
        <v>KI7508781552,</v>
      </c>
    </row>
    <row r="3020" spans="3:4">
      <c r="C3020" t="s">
        <v>2758</v>
      </c>
      <c r="D3020" t="str">
        <f t="shared" si="48"/>
        <v>KI7508781725,</v>
      </c>
    </row>
    <row r="3021" spans="3:4">
      <c r="C3021" t="s">
        <v>3260</v>
      </c>
      <c r="D3021" t="str">
        <f t="shared" si="48"/>
        <v>KI7508783334,</v>
      </c>
    </row>
    <row r="3022" spans="3:4">
      <c r="C3022" t="s">
        <v>2759</v>
      </c>
      <c r="D3022" t="str">
        <f t="shared" si="48"/>
        <v>KI7508787331,</v>
      </c>
    </row>
    <row r="3023" spans="3:4">
      <c r="C3023" t="s">
        <v>2101</v>
      </c>
      <c r="D3023" t="str">
        <f t="shared" si="48"/>
        <v>KI7508788742,</v>
      </c>
    </row>
    <row r="3024" spans="3:4">
      <c r="C3024" t="s">
        <v>3045</v>
      </c>
      <c r="D3024" t="str">
        <f t="shared" si="48"/>
        <v>KI7508788919,</v>
      </c>
    </row>
    <row r="3025" spans="3:4">
      <c r="C3025" t="s">
        <v>3160</v>
      </c>
      <c r="D3025" t="str">
        <f t="shared" si="48"/>
        <v>KI7508789149,</v>
      </c>
    </row>
    <row r="3026" spans="3:4">
      <c r="C3026" t="s">
        <v>4312</v>
      </c>
      <c r="D3026" t="str">
        <f t="shared" si="48"/>
        <v>SD7508030908,</v>
      </c>
    </row>
    <row r="3027" spans="3:4">
      <c r="C3027" t="s">
        <v>2614</v>
      </c>
      <c r="D3027" t="str">
        <f t="shared" si="48"/>
        <v>KI7508789185,</v>
      </c>
    </row>
    <row r="3028" spans="3:4">
      <c r="C3028" t="s">
        <v>2752</v>
      </c>
      <c r="D3028" t="str">
        <f t="shared" si="48"/>
        <v>KI7508806141,</v>
      </c>
    </row>
    <row r="3029" spans="3:4">
      <c r="C3029" t="s">
        <v>2760</v>
      </c>
      <c r="D3029" t="str">
        <f t="shared" si="48"/>
        <v>KI7508806443,</v>
      </c>
    </row>
    <row r="3030" spans="3:4">
      <c r="C3030" t="s">
        <v>3234</v>
      </c>
      <c r="D3030" t="str">
        <f t="shared" si="48"/>
        <v>KI7500311080,</v>
      </c>
    </row>
    <row r="3031" spans="3:4">
      <c r="C3031" t="s">
        <v>3261</v>
      </c>
      <c r="D3031" t="str">
        <f t="shared" si="48"/>
        <v>KI7508809425,</v>
      </c>
    </row>
    <row r="3032" spans="3:4">
      <c r="C3032" t="s">
        <v>4313</v>
      </c>
      <c r="D3032" t="str">
        <f t="shared" si="48"/>
        <v>SD7507949955,</v>
      </c>
    </row>
    <row r="3033" spans="3:4">
      <c r="C3033" t="s">
        <v>2615</v>
      </c>
      <c r="D3033" t="str">
        <f t="shared" si="48"/>
        <v>KI7508815724,</v>
      </c>
    </row>
    <row r="3034" spans="3:4">
      <c r="C3034" t="s">
        <v>3070</v>
      </c>
      <c r="D3034" t="str">
        <f t="shared" si="48"/>
        <v>KI7508819719,</v>
      </c>
    </row>
    <row r="3035" spans="3:4">
      <c r="C3035" t="s">
        <v>2981</v>
      </c>
      <c r="D3035" t="str">
        <f t="shared" si="48"/>
        <v>KI7508820043,</v>
      </c>
    </row>
    <row r="3036" spans="3:4">
      <c r="C3036" t="s">
        <v>2953</v>
      </c>
      <c r="D3036" t="str">
        <f t="shared" si="48"/>
        <v>KI7508823395,</v>
      </c>
    </row>
    <row r="3037" spans="3:4">
      <c r="C3037" t="s">
        <v>3037</v>
      </c>
      <c r="D3037" t="str">
        <f t="shared" si="48"/>
        <v>KI7508826223,</v>
      </c>
    </row>
    <row r="3038" spans="3:4">
      <c r="C3038" t="s">
        <v>4314</v>
      </c>
      <c r="D3038" t="str">
        <f t="shared" si="48"/>
        <v>SD7508030708,</v>
      </c>
    </row>
    <row r="3039" spans="3:4">
      <c r="C3039" t="s">
        <v>2466</v>
      </c>
      <c r="D3039" t="str">
        <f t="shared" ref="D3039:D3102" si="49">""&amp;C3039&amp;","</f>
        <v>KI7508829479,</v>
      </c>
    </row>
    <row r="3040" spans="3:4">
      <c r="C3040" t="s">
        <v>3123</v>
      </c>
      <c r="D3040" t="str">
        <f t="shared" si="49"/>
        <v>KI7508836353,</v>
      </c>
    </row>
    <row r="3041" spans="3:4">
      <c r="C3041" t="s">
        <v>2566</v>
      </c>
      <c r="D3041" t="str">
        <f t="shared" si="49"/>
        <v>KI7508838814,</v>
      </c>
    </row>
    <row r="3042" spans="3:4">
      <c r="C3042" t="s">
        <v>2992</v>
      </c>
      <c r="D3042" t="str">
        <f t="shared" si="49"/>
        <v>KI7508841610,</v>
      </c>
    </row>
    <row r="3043" spans="3:4">
      <c r="C3043" t="s">
        <v>3027</v>
      </c>
      <c r="D3043" t="str">
        <f t="shared" si="49"/>
        <v>KI7508844725,</v>
      </c>
    </row>
    <row r="3044" spans="3:4">
      <c r="C3044" t="s">
        <v>3001</v>
      </c>
      <c r="D3044" t="str">
        <f t="shared" si="49"/>
        <v>KI7500314196,</v>
      </c>
    </row>
    <row r="3045" spans="3:4">
      <c r="C3045" t="s">
        <v>2941</v>
      </c>
      <c r="D3045" t="str">
        <f t="shared" si="49"/>
        <v>KI7508847751,</v>
      </c>
    </row>
    <row r="3046" spans="3:4">
      <c r="C3046" t="s">
        <v>2096</v>
      </c>
      <c r="D3046" t="str">
        <f t="shared" si="49"/>
        <v>KI7508848895,</v>
      </c>
    </row>
    <row r="3047" spans="3:4">
      <c r="C3047" t="s">
        <v>3141</v>
      </c>
      <c r="D3047" t="str">
        <f t="shared" si="49"/>
        <v>KI7508849250,</v>
      </c>
    </row>
    <row r="3048" spans="3:4">
      <c r="C3048" t="s">
        <v>3161</v>
      </c>
      <c r="D3048" t="str">
        <f t="shared" si="49"/>
        <v>KI7508853660,</v>
      </c>
    </row>
    <row r="3049" spans="3:4">
      <c r="C3049" t="s">
        <v>2110</v>
      </c>
      <c r="D3049" t="str">
        <f t="shared" si="49"/>
        <v>KI7500315447,</v>
      </c>
    </row>
    <row r="3050" spans="3:4">
      <c r="C3050" t="s">
        <v>2341</v>
      </c>
      <c r="D3050" t="str">
        <f t="shared" si="49"/>
        <v>KI7508859208,</v>
      </c>
    </row>
    <row r="3051" spans="3:4">
      <c r="C3051" t="s">
        <v>2305</v>
      </c>
      <c r="D3051" t="str">
        <f t="shared" si="49"/>
        <v>KI7508861469,</v>
      </c>
    </row>
    <row r="3052" spans="3:4">
      <c r="C3052" t="s">
        <v>2539</v>
      </c>
      <c r="D3052" t="str">
        <f t="shared" si="49"/>
        <v>KI7508864768,</v>
      </c>
    </row>
    <row r="3053" spans="3:4">
      <c r="C3053" t="s">
        <v>3052</v>
      </c>
      <c r="D3053" t="str">
        <f t="shared" si="49"/>
        <v>KI7508865469,</v>
      </c>
    </row>
    <row r="3054" spans="3:4">
      <c r="C3054" t="s">
        <v>2612</v>
      </c>
      <c r="D3054" t="str">
        <f t="shared" si="49"/>
        <v>KI7500315985,</v>
      </c>
    </row>
    <row r="3055" spans="3:4">
      <c r="C3055" t="s">
        <v>3318</v>
      </c>
      <c r="D3055" t="str">
        <f t="shared" si="49"/>
        <v>KI7508866853,</v>
      </c>
    </row>
    <row r="3056" spans="3:4">
      <c r="C3056" t="s">
        <v>2450</v>
      </c>
      <c r="D3056" t="str">
        <f t="shared" si="49"/>
        <v>KI7508867272,</v>
      </c>
    </row>
    <row r="3057" spans="3:4">
      <c r="C3057" t="s">
        <v>2429</v>
      </c>
      <c r="D3057" t="str">
        <f t="shared" si="49"/>
        <v>KI7508868332,</v>
      </c>
    </row>
    <row r="3058" spans="3:4">
      <c r="C3058" t="s">
        <v>3162</v>
      </c>
      <c r="D3058" t="str">
        <f t="shared" si="49"/>
        <v>KI7508868970,</v>
      </c>
    </row>
    <row r="3059" spans="3:4">
      <c r="C3059" t="s">
        <v>2908</v>
      </c>
      <c r="D3059" t="str">
        <f t="shared" si="49"/>
        <v>KI7508870105,</v>
      </c>
    </row>
    <row r="3060" spans="3:4">
      <c r="C3060" t="s">
        <v>3016</v>
      </c>
      <c r="D3060" t="str">
        <f t="shared" si="49"/>
        <v>KI7508874260,</v>
      </c>
    </row>
    <row r="3061" spans="3:4">
      <c r="C3061" t="s">
        <v>2968</v>
      </c>
      <c r="D3061" t="str">
        <f t="shared" si="49"/>
        <v>KI7508877749,</v>
      </c>
    </row>
    <row r="3062" spans="3:4">
      <c r="C3062" t="s">
        <v>3289</v>
      </c>
      <c r="D3062" t="str">
        <f t="shared" si="49"/>
        <v>KI7508879512,</v>
      </c>
    </row>
    <row r="3063" spans="3:4">
      <c r="C3063" t="s">
        <v>3359</v>
      </c>
      <c r="D3063" t="str">
        <f t="shared" si="49"/>
        <v>KI7508880636,</v>
      </c>
    </row>
    <row r="3064" spans="3:4">
      <c r="C3064" t="s">
        <v>2943</v>
      </c>
      <c r="D3064" t="str">
        <f t="shared" si="49"/>
        <v>KI7508882845,</v>
      </c>
    </row>
    <row r="3065" spans="3:4">
      <c r="C3065" t="s">
        <v>3347</v>
      </c>
      <c r="D3065" t="str">
        <f t="shared" si="49"/>
        <v>KI7508888460,</v>
      </c>
    </row>
    <row r="3066" spans="3:4">
      <c r="C3066" t="s">
        <v>2927</v>
      </c>
      <c r="D3066" t="str">
        <f t="shared" si="49"/>
        <v>KI7508896706,</v>
      </c>
    </row>
    <row r="3067" spans="3:4">
      <c r="C3067" t="s">
        <v>2928</v>
      </c>
      <c r="D3067" t="str">
        <f t="shared" si="49"/>
        <v>KI7508897002,</v>
      </c>
    </row>
    <row r="3068" spans="3:4">
      <c r="C3068" t="s">
        <v>3270</v>
      </c>
      <c r="D3068" t="str">
        <f t="shared" si="49"/>
        <v>KI7508897690,</v>
      </c>
    </row>
    <row r="3069" spans="3:4">
      <c r="C3069" t="s">
        <v>3204</v>
      </c>
      <c r="D3069" t="str">
        <f t="shared" si="49"/>
        <v>KI7508900038,</v>
      </c>
    </row>
    <row r="3070" spans="3:4">
      <c r="C3070" t="s">
        <v>2484</v>
      </c>
      <c r="D3070" t="str">
        <f t="shared" si="49"/>
        <v>KI7500319980,</v>
      </c>
    </row>
    <row r="3071" spans="3:4">
      <c r="C3071" t="s">
        <v>3224</v>
      </c>
      <c r="D3071" t="str">
        <f t="shared" si="49"/>
        <v>KI7500319978,</v>
      </c>
    </row>
    <row r="3072" spans="3:4">
      <c r="C3072" t="s">
        <v>3379</v>
      </c>
      <c r="D3072" t="str">
        <f t="shared" si="49"/>
        <v>KI7508909409,</v>
      </c>
    </row>
    <row r="3073" spans="3:4">
      <c r="C3073" t="s">
        <v>4315</v>
      </c>
      <c r="D3073" t="str">
        <f t="shared" si="49"/>
        <v>BK0060184170,</v>
      </c>
    </row>
    <row r="3074" spans="3:4">
      <c r="C3074" t="s">
        <v>3380</v>
      </c>
      <c r="D3074" t="str">
        <f t="shared" si="49"/>
        <v>KI7508912940,</v>
      </c>
    </row>
    <row r="3075" spans="3:4">
      <c r="C3075" t="s">
        <v>3322</v>
      </c>
      <c r="D3075" t="str">
        <f t="shared" si="49"/>
        <v>KI7508915278,</v>
      </c>
    </row>
    <row r="3076" spans="3:4">
      <c r="C3076" t="s">
        <v>3181</v>
      </c>
      <c r="D3076" t="str">
        <f t="shared" si="49"/>
        <v>KI7508923155,</v>
      </c>
    </row>
    <row r="3077" spans="3:4">
      <c r="C3077" t="s">
        <v>3363</v>
      </c>
      <c r="D3077" t="str">
        <f t="shared" si="49"/>
        <v>KI7508924370,</v>
      </c>
    </row>
    <row r="3078" spans="3:4">
      <c r="C3078" t="s">
        <v>2452</v>
      </c>
      <c r="D3078" t="str">
        <f t="shared" si="49"/>
        <v>KI7508927723,</v>
      </c>
    </row>
    <row r="3079" spans="3:4">
      <c r="C3079" t="s">
        <v>3348</v>
      </c>
      <c r="D3079" t="str">
        <f t="shared" si="49"/>
        <v>KI7508927974,</v>
      </c>
    </row>
    <row r="3080" spans="3:4">
      <c r="C3080" t="s">
        <v>3364</v>
      </c>
      <c r="D3080" t="str">
        <f t="shared" si="49"/>
        <v>KI7508929756,</v>
      </c>
    </row>
    <row r="3081" spans="3:4">
      <c r="C3081" t="s">
        <v>3376</v>
      </c>
      <c r="D3081" t="str">
        <f t="shared" si="49"/>
        <v>KI7500322244,</v>
      </c>
    </row>
    <row r="3082" spans="3:4">
      <c r="C3082" t="s">
        <v>3382</v>
      </c>
      <c r="D3082" t="str">
        <f t="shared" si="49"/>
        <v>KI7508930377,</v>
      </c>
    </row>
    <row r="3083" spans="3:4">
      <c r="C3083" t="s">
        <v>3323</v>
      </c>
      <c r="D3083" t="str">
        <f t="shared" si="49"/>
        <v>KI7508931169,</v>
      </c>
    </row>
    <row r="3084" spans="3:4">
      <c r="C3084" t="s">
        <v>4316</v>
      </c>
      <c r="D3084" t="str">
        <f t="shared" si="49"/>
        <v>RN9012058085,</v>
      </c>
    </row>
    <row r="3085" spans="3:4">
      <c r="C3085" t="s">
        <v>3315</v>
      </c>
      <c r="D3085" t="str">
        <f t="shared" si="49"/>
        <v>KI7500322464,</v>
      </c>
    </row>
    <row r="3086" spans="3:4">
      <c r="C3086" t="s">
        <v>2407</v>
      </c>
      <c r="D3086" t="str">
        <f t="shared" si="49"/>
        <v>KI7508931290,</v>
      </c>
    </row>
    <row r="3087" spans="3:4">
      <c r="C3087" t="s">
        <v>3349</v>
      </c>
      <c r="D3087" t="str">
        <f t="shared" si="49"/>
        <v>KI7508932586,</v>
      </c>
    </row>
    <row r="3088" spans="3:4">
      <c r="C3088" t="s">
        <v>2444</v>
      </c>
      <c r="D3088" t="str">
        <f t="shared" si="49"/>
        <v>KI7508932684,</v>
      </c>
    </row>
    <row r="3089" spans="3:4">
      <c r="C3089" t="s">
        <v>3324</v>
      </c>
      <c r="D3089" t="str">
        <f t="shared" si="49"/>
        <v>KI7508933679,</v>
      </c>
    </row>
    <row r="3090" spans="3:4">
      <c r="C3090" t="s">
        <v>3325</v>
      </c>
      <c r="D3090" t="str">
        <f t="shared" si="49"/>
        <v>KI7508934036,</v>
      </c>
    </row>
    <row r="3091" spans="3:4">
      <c r="C3091" t="s">
        <v>2453</v>
      </c>
      <c r="D3091" t="str">
        <f t="shared" si="49"/>
        <v>KI7508934791,</v>
      </c>
    </row>
    <row r="3092" spans="3:4">
      <c r="C3092" t="s">
        <v>3350</v>
      </c>
      <c r="D3092" t="str">
        <f t="shared" si="49"/>
        <v>KI7508936279,</v>
      </c>
    </row>
    <row r="3093" spans="3:4">
      <c r="C3093" t="s">
        <v>2303</v>
      </c>
      <c r="D3093" t="str">
        <f t="shared" si="49"/>
        <v>KI7500323001,</v>
      </c>
    </row>
    <row r="3094" spans="3:4">
      <c r="C3094" t="s">
        <v>3316</v>
      </c>
      <c r="D3094" t="str">
        <f t="shared" si="49"/>
        <v>KI7500322947,</v>
      </c>
    </row>
    <row r="3095" spans="3:4">
      <c r="C3095" t="s">
        <v>2437</v>
      </c>
      <c r="D3095" t="str">
        <f t="shared" si="49"/>
        <v>KI7508939255,</v>
      </c>
    </row>
    <row r="3096" spans="3:4">
      <c r="C3096" t="s">
        <v>2345</v>
      </c>
      <c r="D3096" t="str">
        <f t="shared" si="49"/>
        <v>KI7508941466,</v>
      </c>
    </row>
    <row r="3097" spans="3:4">
      <c r="C3097" t="s">
        <v>2431</v>
      </c>
      <c r="D3097" t="str">
        <f t="shared" si="49"/>
        <v>KI7508946991,</v>
      </c>
    </row>
    <row r="3098" spans="3:4">
      <c r="C3098" t="s">
        <v>3326</v>
      </c>
      <c r="D3098" t="str">
        <f t="shared" si="49"/>
        <v>KI7508947123,</v>
      </c>
    </row>
    <row r="3099" spans="3:4">
      <c r="C3099" t="s">
        <v>3143</v>
      </c>
      <c r="D3099" t="str">
        <f t="shared" si="49"/>
        <v>KI7508953796,</v>
      </c>
    </row>
    <row r="3100" spans="3:4">
      <c r="C3100" t="s">
        <v>3163</v>
      </c>
      <c r="D3100" t="str">
        <f t="shared" si="49"/>
        <v>KI7508953880,</v>
      </c>
    </row>
    <row r="3101" spans="3:4">
      <c r="C3101" t="s">
        <v>3383</v>
      </c>
      <c r="D3101" t="str">
        <f t="shared" si="49"/>
        <v>KI7508954143,</v>
      </c>
    </row>
    <row r="3102" spans="3:4">
      <c r="C3102" t="s">
        <v>3367</v>
      </c>
      <c r="D3102" t="str">
        <f t="shared" si="49"/>
        <v>KI7508955316,</v>
      </c>
    </row>
    <row r="3103" spans="3:4">
      <c r="C3103" t="s">
        <v>2295</v>
      </c>
      <c r="D3103" t="str">
        <f t="shared" ref="D3103:D3166" si="50">""&amp;C3103&amp;","</f>
        <v>KI7508958105,</v>
      </c>
    </row>
    <row r="3104" spans="3:4">
      <c r="C3104" t="s">
        <v>2455</v>
      </c>
      <c r="D3104" t="str">
        <f t="shared" si="50"/>
        <v>KI7508964078,</v>
      </c>
    </row>
    <row r="3105" spans="3:4">
      <c r="C3105" t="s">
        <v>3368</v>
      </c>
      <c r="D3105" t="str">
        <f t="shared" si="50"/>
        <v>KI7508965901,</v>
      </c>
    </row>
    <row r="3106" spans="3:4">
      <c r="C3106" t="s">
        <v>4317</v>
      </c>
      <c r="D3106" t="str">
        <f t="shared" si="50"/>
        <v>MG7514816726,</v>
      </c>
    </row>
    <row r="3107" spans="3:4">
      <c r="C3107" t="s">
        <v>2379</v>
      </c>
      <c r="D3107" t="str">
        <f t="shared" si="50"/>
        <v>KI7508966303,</v>
      </c>
    </row>
    <row r="3108" spans="3:4">
      <c r="C3108" t="s">
        <v>3317</v>
      </c>
      <c r="D3108" t="str">
        <f t="shared" si="50"/>
        <v>KI7500326280,</v>
      </c>
    </row>
    <row r="3109" spans="3:4">
      <c r="C3109" t="s">
        <v>2357</v>
      </c>
      <c r="D3109" t="str">
        <f t="shared" si="50"/>
        <v>KI7508972952,</v>
      </c>
    </row>
    <row r="3110" spans="3:4">
      <c r="C3110" t="s">
        <v>2468</v>
      </c>
      <c r="D3110" t="str">
        <f t="shared" si="50"/>
        <v>KI7508974235,</v>
      </c>
    </row>
    <row r="3111" spans="3:4">
      <c r="C3111" t="s">
        <v>2496</v>
      </c>
      <c r="D3111" t="str">
        <f t="shared" si="50"/>
        <v>KI7508978212,</v>
      </c>
    </row>
    <row r="3112" spans="3:4">
      <c r="C3112" t="s">
        <v>2296</v>
      </c>
      <c r="D3112" t="str">
        <f t="shared" si="50"/>
        <v>KI7508980100,</v>
      </c>
    </row>
    <row r="3113" spans="3:4">
      <c r="C3113" t="s">
        <v>3720</v>
      </c>
      <c r="D3113" t="str">
        <f t="shared" si="50"/>
        <v>KI7508980398,</v>
      </c>
    </row>
    <row r="3114" spans="3:4">
      <c r="C3114" t="s">
        <v>3246</v>
      </c>
      <c r="D3114" t="str">
        <f t="shared" si="50"/>
        <v>KI7508682794,</v>
      </c>
    </row>
    <row r="3115" spans="3:4">
      <c r="C3115" t="s">
        <v>2778</v>
      </c>
      <c r="D3115" t="str">
        <f t="shared" si="50"/>
        <v>KI7508714465,</v>
      </c>
    </row>
    <row r="3116" spans="3:4">
      <c r="C3116" t="s">
        <v>2854</v>
      </c>
      <c r="D3116" t="str">
        <f t="shared" si="50"/>
        <v>KI7508714582,</v>
      </c>
    </row>
    <row r="3117" spans="3:4">
      <c r="C3117" t="s">
        <v>2779</v>
      </c>
      <c r="D3117" t="str">
        <f t="shared" si="50"/>
        <v>KI7508714596,</v>
      </c>
    </row>
    <row r="3118" spans="3:4">
      <c r="C3118" t="s">
        <v>2740</v>
      </c>
      <c r="D3118" t="str">
        <f t="shared" si="50"/>
        <v>KI7500302912,</v>
      </c>
    </row>
    <row r="3119" spans="3:4">
      <c r="C3119" t="s">
        <v>2689</v>
      </c>
      <c r="D3119" t="str">
        <f t="shared" si="50"/>
        <v>KI7508738552,</v>
      </c>
    </row>
    <row r="3120" spans="3:4">
      <c r="C3120" t="s">
        <v>2058</v>
      </c>
      <c r="D3120" t="str">
        <f t="shared" si="50"/>
        <v>KI7508750996,</v>
      </c>
    </row>
    <row r="3121" spans="3:4">
      <c r="C3121" t="s">
        <v>3041</v>
      </c>
      <c r="D3121" t="str">
        <f t="shared" si="50"/>
        <v>KI7500304701,</v>
      </c>
    </row>
    <row r="3122" spans="3:4">
      <c r="C3122" t="s">
        <v>2770</v>
      </c>
      <c r="D3122" t="str">
        <f t="shared" si="50"/>
        <v>KI7508756381,</v>
      </c>
    </row>
    <row r="3123" spans="3:4">
      <c r="C3123" t="s">
        <v>2757</v>
      </c>
      <c r="D3123" t="str">
        <f t="shared" si="50"/>
        <v>KI7508766988,</v>
      </c>
    </row>
    <row r="3124" spans="3:4">
      <c r="C3124" t="s">
        <v>3159</v>
      </c>
      <c r="D3124" t="str">
        <f t="shared" si="50"/>
        <v>KI7508775759,</v>
      </c>
    </row>
    <row r="3125" spans="3:4">
      <c r="C3125" t="s">
        <v>3034</v>
      </c>
      <c r="D3125" t="str">
        <f t="shared" si="50"/>
        <v>KI7508787535,</v>
      </c>
    </row>
    <row r="3126" spans="3:4">
      <c r="C3126" t="s">
        <v>2950</v>
      </c>
      <c r="D3126" t="str">
        <f t="shared" si="50"/>
        <v>KI7500311437,</v>
      </c>
    </row>
    <row r="3127" spans="3:4">
      <c r="C3127" t="s">
        <v>3288</v>
      </c>
      <c r="D3127" t="str">
        <f t="shared" si="50"/>
        <v>KI7508825215,</v>
      </c>
    </row>
    <row r="3128" spans="3:4">
      <c r="C3128" t="s">
        <v>2291</v>
      </c>
      <c r="D3128" t="str">
        <f t="shared" si="50"/>
        <v>KI7500313230,</v>
      </c>
    </row>
    <row r="3129" spans="3:4">
      <c r="C3129" t="s">
        <v>2567</v>
      </c>
      <c r="D3129" t="str">
        <f t="shared" si="50"/>
        <v>KI7508848817,</v>
      </c>
    </row>
    <row r="3130" spans="3:4">
      <c r="C3130" t="s">
        <v>2108</v>
      </c>
      <c r="D3130" t="str">
        <f t="shared" si="50"/>
        <v>KI7508857679,</v>
      </c>
    </row>
    <row r="3131" spans="3:4">
      <c r="C3131" t="s">
        <v>2492</v>
      </c>
      <c r="D3131" t="str">
        <f t="shared" si="50"/>
        <v>KI7508865921,</v>
      </c>
    </row>
    <row r="3132" spans="3:4">
      <c r="C3132" t="s">
        <v>3293</v>
      </c>
      <c r="D3132" t="str">
        <f t="shared" si="50"/>
        <v>KI7508878875,</v>
      </c>
    </row>
    <row r="3133" spans="3:4">
      <c r="C3133" t="s">
        <v>3071</v>
      </c>
      <c r="D3133" t="str">
        <f t="shared" si="50"/>
        <v>KI7508880073,</v>
      </c>
    </row>
    <row r="3134" spans="3:4">
      <c r="C3134" t="s">
        <v>3296</v>
      </c>
      <c r="D3134" t="str">
        <f t="shared" si="50"/>
        <v>KI7508884019,</v>
      </c>
    </row>
    <row r="3135" spans="3:4">
      <c r="C3135" t="s">
        <v>3238</v>
      </c>
      <c r="D3135" t="str">
        <f t="shared" si="50"/>
        <v>KI7508895571,</v>
      </c>
    </row>
    <row r="3136" spans="3:4">
      <c r="C3136" t="s">
        <v>3319</v>
      </c>
      <c r="D3136" t="str">
        <f t="shared" si="50"/>
        <v>KI7508899789,</v>
      </c>
    </row>
    <row r="3137" spans="3:4">
      <c r="C3137" t="s">
        <v>3320</v>
      </c>
      <c r="D3137" t="str">
        <f t="shared" si="50"/>
        <v>KI7508900650,</v>
      </c>
    </row>
    <row r="3138" spans="3:4">
      <c r="C3138" t="s">
        <v>3360</v>
      </c>
      <c r="D3138" t="str">
        <f t="shared" si="50"/>
        <v>KI7508912653,</v>
      </c>
    </row>
    <row r="3139" spans="3:4">
      <c r="C3139" t="s">
        <v>2436</v>
      </c>
      <c r="D3139" t="str">
        <f t="shared" si="50"/>
        <v>KI7508912840,</v>
      </c>
    </row>
    <row r="3140" spans="3:4">
      <c r="C3140" t="s">
        <v>3205</v>
      </c>
      <c r="D3140" t="str">
        <f t="shared" si="50"/>
        <v>KI7508919992,</v>
      </c>
    </row>
    <row r="3141" spans="3:4">
      <c r="C3141" t="s">
        <v>3381</v>
      </c>
      <c r="D3141" t="str">
        <f t="shared" si="50"/>
        <v>KI7508926147,</v>
      </c>
    </row>
    <row r="3142" spans="3:4">
      <c r="C3142" t="s">
        <v>2327</v>
      </c>
      <c r="D3142" t="str">
        <f t="shared" si="50"/>
        <v>KI7508940346,</v>
      </c>
    </row>
    <row r="3143" spans="3:4">
      <c r="C3143" t="s">
        <v>2315</v>
      </c>
      <c r="D3143" t="str">
        <f t="shared" si="50"/>
        <v>KI7508944045,</v>
      </c>
    </row>
    <row r="3144" spans="3:4">
      <c r="C3144" t="s">
        <v>3063</v>
      </c>
      <c r="D3144" t="str">
        <f t="shared" si="50"/>
        <v>KI7508946319,</v>
      </c>
    </row>
    <row r="3145" spans="3:4">
      <c r="C3145" t="s">
        <v>2290</v>
      </c>
      <c r="D3145" t="str">
        <f t="shared" si="50"/>
        <v>KI7508952335,</v>
      </c>
    </row>
    <row r="3146" spans="3:4">
      <c r="C3146" t="s">
        <v>2425</v>
      </c>
      <c r="D3146" t="str">
        <f t="shared" si="50"/>
        <v>KI7508954054,</v>
      </c>
    </row>
    <row r="3147" spans="3:4">
      <c r="C3147" t="s">
        <v>2519</v>
      </c>
      <c r="D3147" t="str">
        <f t="shared" si="50"/>
        <v>KI7508962267,</v>
      </c>
    </row>
    <row r="3148" spans="3:4">
      <c r="C3148" t="s">
        <v>2454</v>
      </c>
      <c r="D3148" t="str">
        <f t="shared" si="50"/>
        <v>KI7508962922,</v>
      </c>
    </row>
    <row r="3149" spans="3:4">
      <c r="C3149" t="s">
        <v>3327</v>
      </c>
      <c r="D3149" t="str">
        <f t="shared" si="50"/>
        <v>KI7508973186,</v>
      </c>
    </row>
    <row r="3150" spans="3:4">
      <c r="C3150" t="s">
        <v>2317</v>
      </c>
      <c r="D3150" t="str">
        <f t="shared" si="50"/>
        <v>KI7500328207,</v>
      </c>
    </row>
    <row r="3151" spans="3:4">
      <c r="C3151" t="s">
        <v>2949</v>
      </c>
      <c r="D3151" t="str">
        <f t="shared" si="50"/>
        <v>KI7500302860,</v>
      </c>
    </row>
    <row r="3152" spans="3:4">
      <c r="C3152" t="s">
        <v>2766</v>
      </c>
      <c r="D3152" t="str">
        <f t="shared" si="50"/>
        <v>KI7500302853,</v>
      </c>
    </row>
    <row r="3153" spans="3:4">
      <c r="C3153" t="s">
        <v>2717</v>
      </c>
      <c r="D3153" t="str">
        <f t="shared" si="50"/>
        <v>KI7500308352,</v>
      </c>
    </row>
    <row r="3154" spans="3:4">
      <c r="C3154" t="s">
        <v>2727</v>
      </c>
      <c r="D3154" t="str">
        <f t="shared" si="50"/>
        <v>KI7500311132,</v>
      </c>
    </row>
    <row r="3155" spans="3:4">
      <c r="C3155" t="s">
        <v>3377</v>
      </c>
      <c r="D3155" t="str">
        <f t="shared" si="50"/>
        <v>KI7500323192,</v>
      </c>
    </row>
    <row r="3156" spans="3:4">
      <c r="C3156" t="s">
        <v>4318</v>
      </c>
      <c r="D3156" t="str">
        <f t="shared" si="50"/>
        <v>DG7515150430,</v>
      </c>
    </row>
    <row r="3157" spans="3:4">
      <c r="C3157" t="s">
        <v>4319</v>
      </c>
      <c r="D3157" t="str">
        <f t="shared" si="50"/>
        <v>DG7515150321,</v>
      </c>
    </row>
    <row r="3158" spans="3:4">
      <c r="C3158" t="s">
        <v>3177</v>
      </c>
      <c r="D3158" t="str">
        <f t="shared" si="50"/>
        <v>KI7500301921,</v>
      </c>
    </row>
    <row r="3159" spans="3:4">
      <c r="C3159" t="s">
        <v>3178</v>
      </c>
      <c r="D3159" t="str">
        <f t="shared" si="50"/>
        <v>KI7500303300,</v>
      </c>
    </row>
    <row r="3160" spans="3:4">
      <c r="C3160" t="s">
        <v>2781</v>
      </c>
      <c r="D3160" t="str">
        <f t="shared" si="50"/>
        <v>KI7508738197,</v>
      </c>
    </row>
    <row r="3161" spans="3:4">
      <c r="C3161" t="s">
        <v>2768</v>
      </c>
      <c r="D3161" t="str">
        <f t="shared" si="50"/>
        <v>KI7508738285,</v>
      </c>
    </row>
    <row r="3162" spans="3:4">
      <c r="C3162" t="s">
        <v>2782</v>
      </c>
      <c r="D3162" t="str">
        <f t="shared" si="50"/>
        <v>KI7508747840,</v>
      </c>
    </row>
    <row r="3163" spans="3:4">
      <c r="C3163" t="s">
        <v>2728</v>
      </c>
      <c r="D3163" t="str">
        <f t="shared" si="50"/>
        <v>KI7508751084,</v>
      </c>
    </row>
    <row r="3164" spans="3:4">
      <c r="C3164" t="s">
        <v>2744</v>
      </c>
      <c r="D3164" t="str">
        <f t="shared" si="50"/>
        <v>KI7508759952,</v>
      </c>
    </row>
    <row r="3165" spans="3:4">
      <c r="C3165" t="s">
        <v>4320</v>
      </c>
      <c r="D3165" t="str">
        <f t="shared" si="50"/>
        <v>FS9012085542,</v>
      </c>
    </row>
    <row r="3166" spans="3:4">
      <c r="C3166" t="s">
        <v>2730</v>
      </c>
      <c r="D3166" t="str">
        <f t="shared" si="50"/>
        <v>KI7508767975,</v>
      </c>
    </row>
    <row r="3167" spans="3:4">
      <c r="C3167" t="s">
        <v>3026</v>
      </c>
      <c r="D3167" t="str">
        <f t="shared" ref="D3167:D3230" si="51">""&amp;C3167&amp;","</f>
        <v>KI7508815023,</v>
      </c>
    </row>
    <row r="3168" spans="3:4">
      <c r="C3168" t="s">
        <v>3035</v>
      </c>
      <c r="D3168" t="str">
        <f t="shared" si="51"/>
        <v>KI7508815075,</v>
      </c>
    </row>
    <row r="3169" spans="3:4">
      <c r="C3169" t="s">
        <v>3140</v>
      </c>
      <c r="D3169" t="str">
        <f t="shared" si="51"/>
        <v>KI7508816990,</v>
      </c>
    </row>
    <row r="3170" spans="3:4">
      <c r="C3170" t="s">
        <v>3038</v>
      </c>
      <c r="D3170" t="str">
        <f t="shared" si="51"/>
        <v>KI7508830210,</v>
      </c>
    </row>
    <row r="3171" spans="3:4">
      <c r="C3171" t="s">
        <v>2926</v>
      </c>
      <c r="D3171" t="str">
        <f t="shared" si="51"/>
        <v>KI7508849684,</v>
      </c>
    </row>
    <row r="3172" spans="3:4">
      <c r="C3172" t="s">
        <v>3142</v>
      </c>
      <c r="D3172" t="str">
        <f t="shared" si="51"/>
        <v>KI7508882386,</v>
      </c>
    </row>
    <row r="3173" spans="3:4">
      <c r="C3173" t="s">
        <v>2399</v>
      </c>
      <c r="D3173" t="str">
        <f t="shared" si="51"/>
        <v>KI7508910947,</v>
      </c>
    </row>
    <row r="3174" spans="3:4">
      <c r="C3174" t="s">
        <v>3337</v>
      </c>
      <c r="D3174" t="str">
        <f t="shared" si="51"/>
        <v>KI7508943326,</v>
      </c>
    </row>
    <row r="3175" spans="3:4">
      <c r="C3175" t="s">
        <v>3365</v>
      </c>
      <c r="D3175" t="str">
        <f t="shared" si="51"/>
        <v>KI7508945282,</v>
      </c>
    </row>
    <row r="3176" spans="3:4">
      <c r="C3176" t="s">
        <v>3206</v>
      </c>
      <c r="D3176" t="str">
        <f t="shared" si="51"/>
        <v>KI7508977925,</v>
      </c>
    </row>
    <row r="3177" spans="3:4">
      <c r="C3177" t="s">
        <v>2625</v>
      </c>
      <c r="D3177" t="str">
        <f t="shared" si="51"/>
        <v>KI7508734459,</v>
      </c>
    </row>
    <row r="3178" spans="3:4">
      <c r="C3178" t="s">
        <v>2769</v>
      </c>
      <c r="D3178" t="str">
        <f t="shared" si="51"/>
        <v>KI7508744279,</v>
      </c>
    </row>
    <row r="3179" spans="3:4">
      <c r="C3179" t="s">
        <v>3042</v>
      </c>
      <c r="D3179" t="str">
        <f t="shared" si="51"/>
        <v>KI7508759591,</v>
      </c>
    </row>
    <row r="3180" spans="3:4">
      <c r="C3180" t="s">
        <v>2741</v>
      </c>
      <c r="D3180" t="str">
        <f t="shared" si="51"/>
        <v>KI7508764402,</v>
      </c>
    </row>
    <row r="3181" spans="3:4">
      <c r="C3181" t="s">
        <v>3002</v>
      </c>
      <c r="D3181" t="str">
        <f t="shared" si="51"/>
        <v>KI7508808984,</v>
      </c>
    </row>
    <row r="3182" spans="3:4">
      <c r="C3182" t="s">
        <v>2516</v>
      </c>
      <c r="D3182" t="str">
        <f t="shared" si="51"/>
        <v>KI7508809981,</v>
      </c>
    </row>
    <row r="3183" spans="3:4">
      <c r="C3183" t="s">
        <v>2113</v>
      </c>
      <c r="D3183" t="str">
        <f t="shared" si="51"/>
        <v>KI7508811322,</v>
      </c>
    </row>
    <row r="3184" spans="3:4">
      <c r="C3184" t="s">
        <v>1997</v>
      </c>
      <c r="D3184" t="str">
        <f t="shared" si="51"/>
        <v>KI7508831271,</v>
      </c>
    </row>
    <row r="3185" spans="3:4">
      <c r="C3185" t="s">
        <v>3003</v>
      </c>
      <c r="D3185" t="str">
        <f t="shared" si="51"/>
        <v>KI7508845057,</v>
      </c>
    </row>
    <row r="3186" spans="3:4">
      <c r="C3186" t="s">
        <v>2660</v>
      </c>
      <c r="D3186" t="str">
        <f t="shared" si="51"/>
        <v>KI7508846268,</v>
      </c>
    </row>
    <row r="3187" spans="3:4">
      <c r="C3187" t="s">
        <v>2140</v>
      </c>
      <c r="D3187" t="str">
        <f t="shared" si="51"/>
        <v>KI7508854179,</v>
      </c>
    </row>
    <row r="3188" spans="3:4">
      <c r="C3188" t="s">
        <v>2356</v>
      </c>
      <c r="D3188" t="str">
        <f t="shared" si="51"/>
        <v>KI7508860050,</v>
      </c>
    </row>
    <row r="3189" spans="3:4">
      <c r="C3189" t="s">
        <v>2451</v>
      </c>
      <c r="D3189" t="str">
        <f t="shared" si="51"/>
        <v>KI7508872766,</v>
      </c>
    </row>
    <row r="3190" spans="3:4">
      <c r="C3190" t="s">
        <v>2610</v>
      </c>
      <c r="D3190" t="str">
        <f t="shared" si="51"/>
        <v>KI7508875489,</v>
      </c>
    </row>
    <row r="3191" spans="3:4">
      <c r="C3191" t="s">
        <v>2942</v>
      </c>
      <c r="D3191" t="str">
        <f t="shared" si="51"/>
        <v>KI7508878548,</v>
      </c>
    </row>
    <row r="3192" spans="3:4">
      <c r="C3192" t="s">
        <v>2954</v>
      </c>
      <c r="D3192" t="str">
        <f t="shared" si="51"/>
        <v>KI7508878748,</v>
      </c>
    </row>
    <row r="3193" spans="3:4">
      <c r="C3193" t="s">
        <v>2909</v>
      </c>
      <c r="D3193" t="str">
        <f t="shared" si="51"/>
        <v>KI7508878763,</v>
      </c>
    </row>
    <row r="3194" spans="3:4">
      <c r="C3194" t="s">
        <v>3278</v>
      </c>
      <c r="D3194" t="str">
        <f t="shared" si="51"/>
        <v>KI7508881457,</v>
      </c>
    </row>
    <row r="3195" spans="3:4">
      <c r="C3195" t="s">
        <v>2969</v>
      </c>
      <c r="D3195" t="str">
        <f t="shared" si="51"/>
        <v>KI7508896750,</v>
      </c>
    </row>
    <row r="3196" spans="3:4">
      <c r="C3196" t="s">
        <v>2368</v>
      </c>
      <c r="D3196" t="str">
        <f t="shared" si="51"/>
        <v>KI7508900051,</v>
      </c>
    </row>
    <row r="3197" spans="3:4">
      <c r="C3197" t="s">
        <v>3321</v>
      </c>
      <c r="D3197" t="str">
        <f t="shared" si="51"/>
        <v>KI7508906075,</v>
      </c>
    </row>
    <row r="3198" spans="3:4">
      <c r="C3198" t="s">
        <v>3227</v>
      </c>
      <c r="D3198" t="str">
        <f t="shared" si="51"/>
        <v>KI7508908373,</v>
      </c>
    </row>
    <row r="3199" spans="3:4">
      <c r="C3199" t="s">
        <v>2439</v>
      </c>
      <c r="D3199" t="str">
        <f t="shared" si="51"/>
        <v>KI7508908701,</v>
      </c>
    </row>
    <row r="3200" spans="3:4">
      <c r="C3200" t="s">
        <v>3111</v>
      </c>
      <c r="D3200" t="str">
        <f t="shared" si="51"/>
        <v>KI7508910903,</v>
      </c>
    </row>
    <row r="3201" spans="3:4">
      <c r="C3201" t="s">
        <v>3361</v>
      </c>
      <c r="D3201" t="str">
        <f t="shared" si="51"/>
        <v>KI7508913026,</v>
      </c>
    </row>
    <row r="3202" spans="3:4">
      <c r="C3202" t="s">
        <v>2518</v>
      </c>
      <c r="D3202" t="str">
        <f t="shared" si="51"/>
        <v>KI7508942490,</v>
      </c>
    </row>
    <row r="3203" spans="3:4">
      <c r="C3203" t="s">
        <v>3336</v>
      </c>
      <c r="D3203" t="str">
        <f t="shared" si="51"/>
        <v>KI7500323733,</v>
      </c>
    </row>
    <row r="3204" spans="3:4">
      <c r="C3204" t="s">
        <v>2520</v>
      </c>
      <c r="D3204" t="str">
        <f t="shared" si="51"/>
        <v>KI7508977167,</v>
      </c>
    </row>
    <row r="3205" spans="3:4">
      <c r="C3205" t="s">
        <v>2424</v>
      </c>
      <c r="D3205" t="str">
        <f t="shared" si="51"/>
        <v>KL7513698931,</v>
      </c>
    </row>
    <row r="3206" spans="3:4">
      <c r="C3206" t="s">
        <v>2421</v>
      </c>
      <c r="D3206" t="str">
        <f t="shared" si="51"/>
        <v>KP7514170234,</v>
      </c>
    </row>
    <row r="3207" spans="3:4">
      <c r="C3207" t="s">
        <v>2331</v>
      </c>
      <c r="D3207" t="str">
        <f t="shared" si="51"/>
        <v>KA9011933971,</v>
      </c>
    </row>
    <row r="3208" spans="3:4">
      <c r="C3208" t="s">
        <v>1857</v>
      </c>
      <c r="D3208" t="str">
        <f t="shared" si="51"/>
        <v>KA7514318181,</v>
      </c>
    </row>
    <row r="3209" spans="3:4">
      <c r="C3209" t="s">
        <v>3314</v>
      </c>
      <c r="D3209" t="str">
        <f t="shared" si="51"/>
        <v>KA7513713444,</v>
      </c>
    </row>
    <row r="3210" spans="3:4">
      <c r="C3210" t="s">
        <v>3013</v>
      </c>
      <c r="D3210" t="str">
        <f t="shared" si="51"/>
        <v>KA7513711889,</v>
      </c>
    </row>
    <row r="3211" spans="3:4">
      <c r="C3211" t="s">
        <v>2978</v>
      </c>
      <c r="D3211" t="str">
        <f t="shared" si="51"/>
        <v>KA7514320787,</v>
      </c>
    </row>
    <row r="3212" spans="3:4">
      <c r="C3212" t="s">
        <v>2939</v>
      </c>
      <c r="D3212" t="str">
        <f t="shared" si="51"/>
        <v>KA7514320891,</v>
      </c>
    </row>
    <row r="3213" spans="3:4">
      <c r="C3213" t="s">
        <v>3024</v>
      </c>
      <c r="D3213" t="str">
        <f t="shared" si="51"/>
        <v>KA7514321188,</v>
      </c>
    </row>
    <row r="3214" spans="3:4">
      <c r="C3214" t="s">
        <v>1924</v>
      </c>
      <c r="D3214" t="str">
        <f t="shared" si="51"/>
        <v>LE0060781445,</v>
      </c>
    </row>
    <row r="3215" spans="3:4">
      <c r="C3215" t="s">
        <v>1963</v>
      </c>
      <c r="D3215" t="str">
        <f t="shared" si="51"/>
        <v>LE0060896768,</v>
      </c>
    </row>
    <row r="3216" spans="3:4">
      <c r="C3216" t="s">
        <v>2930</v>
      </c>
      <c r="D3216" t="str">
        <f t="shared" si="51"/>
        <v>LE0060897549,</v>
      </c>
    </row>
    <row r="3217" spans="3:4">
      <c r="C3217" t="s">
        <v>3299</v>
      </c>
      <c r="D3217" t="str">
        <f t="shared" si="51"/>
        <v>LE0060897709,</v>
      </c>
    </row>
    <row r="3218" spans="3:4">
      <c r="C3218" t="s">
        <v>3247</v>
      </c>
      <c r="D3218" t="str">
        <f t="shared" si="51"/>
        <v>LE0060906843,</v>
      </c>
    </row>
    <row r="3219" spans="3:4">
      <c r="C3219" t="s">
        <v>3059</v>
      </c>
      <c r="D3219" t="str">
        <f t="shared" si="51"/>
        <v>LE0060898060,</v>
      </c>
    </row>
    <row r="3220" spans="3:4">
      <c r="C3220" t="s">
        <v>2897</v>
      </c>
      <c r="D3220" t="str">
        <f t="shared" si="51"/>
        <v>LE0060938660,</v>
      </c>
    </row>
    <row r="3221" spans="3:4">
      <c r="C3221" t="s">
        <v>1844</v>
      </c>
      <c r="D3221" t="str">
        <f t="shared" si="51"/>
        <v>LE9012178146,</v>
      </c>
    </row>
    <row r="3222" spans="3:4">
      <c r="C3222" t="s">
        <v>1872</v>
      </c>
      <c r="D3222" t="str">
        <f t="shared" si="51"/>
        <v>LE9012192838,</v>
      </c>
    </row>
    <row r="3223" spans="3:4">
      <c r="C3223" t="s">
        <v>1882</v>
      </c>
      <c r="D3223" t="str">
        <f t="shared" si="51"/>
        <v>LE9012197459,</v>
      </c>
    </row>
    <row r="3224" spans="3:4">
      <c r="C3224" t="s">
        <v>1890</v>
      </c>
      <c r="D3224" t="str">
        <f t="shared" si="51"/>
        <v>LE9012192218,</v>
      </c>
    </row>
    <row r="3225" spans="3:4">
      <c r="C3225" t="s">
        <v>1830</v>
      </c>
      <c r="D3225" t="str">
        <f t="shared" si="51"/>
        <v>LE9012199236,</v>
      </c>
    </row>
    <row r="3226" spans="3:4">
      <c r="C3226" t="s">
        <v>2020</v>
      </c>
      <c r="D3226" t="str">
        <f t="shared" si="51"/>
        <v>LE9012000139,</v>
      </c>
    </row>
    <row r="3227" spans="3:4">
      <c r="C3227" t="s">
        <v>1986</v>
      </c>
      <c r="D3227" t="str">
        <f t="shared" si="51"/>
        <v>LE9012001227,</v>
      </c>
    </row>
    <row r="3228" spans="3:4">
      <c r="C3228" t="s">
        <v>1845</v>
      </c>
      <c r="D3228" t="str">
        <f t="shared" si="51"/>
        <v>LE9012000773,</v>
      </c>
    </row>
    <row r="3229" spans="3:4">
      <c r="C3229" t="s">
        <v>3088</v>
      </c>
      <c r="D3229" t="str">
        <f t="shared" si="51"/>
        <v>LE9012004404,</v>
      </c>
    </row>
    <row r="3230" spans="3:4">
      <c r="C3230" t="s">
        <v>3047</v>
      </c>
      <c r="D3230" t="str">
        <f t="shared" si="51"/>
        <v>LE9012007003,</v>
      </c>
    </row>
    <row r="3231" spans="3:4">
      <c r="C3231" t="s">
        <v>1914</v>
      </c>
      <c r="D3231" t="str">
        <f t="shared" ref="D3231:D3294" si="52">""&amp;C3231&amp;","</f>
        <v>LE9012008499,</v>
      </c>
    </row>
    <row r="3232" spans="3:4">
      <c r="C3232" t="s">
        <v>1909</v>
      </c>
      <c r="D3232" t="str">
        <f t="shared" si="52"/>
        <v>LE9012008999,</v>
      </c>
    </row>
    <row r="3233" spans="3:4">
      <c r="C3233" t="s">
        <v>2120</v>
      </c>
      <c r="D3233" t="str">
        <f t="shared" si="52"/>
        <v>LE9012010195,</v>
      </c>
    </row>
    <row r="3234" spans="3:4">
      <c r="C3234" t="s">
        <v>1905</v>
      </c>
      <c r="D3234" t="str">
        <f t="shared" si="52"/>
        <v>LE9012007823,</v>
      </c>
    </row>
    <row r="3235" spans="3:4">
      <c r="C3235" t="s">
        <v>2879</v>
      </c>
      <c r="D3235" t="str">
        <f t="shared" si="52"/>
        <v>LE9011800096,</v>
      </c>
    </row>
    <row r="3236" spans="3:4">
      <c r="C3236" t="s">
        <v>1928</v>
      </c>
      <c r="D3236" t="str">
        <f t="shared" si="52"/>
        <v>LE9012012302,</v>
      </c>
    </row>
    <row r="3237" spans="3:4">
      <c r="C3237" t="s">
        <v>2202</v>
      </c>
      <c r="D3237" t="str">
        <f t="shared" si="52"/>
        <v>LE9012013768,</v>
      </c>
    </row>
    <row r="3238" spans="3:4">
      <c r="C3238" t="s">
        <v>2168</v>
      </c>
      <c r="D3238" t="str">
        <f t="shared" si="52"/>
        <v>LE9012018602,</v>
      </c>
    </row>
    <row r="3239" spans="3:4">
      <c r="C3239" t="s">
        <v>2583</v>
      </c>
      <c r="D3239" t="str">
        <f t="shared" si="52"/>
        <v>LE9012015643,</v>
      </c>
    </row>
    <row r="3240" spans="3:4">
      <c r="C3240" t="s">
        <v>2117</v>
      </c>
      <c r="D3240" t="str">
        <f t="shared" si="52"/>
        <v>LE9012019964,</v>
      </c>
    </row>
    <row r="3241" spans="3:4">
      <c r="C3241" t="s">
        <v>3279</v>
      </c>
      <c r="D3241" t="str">
        <f t="shared" si="52"/>
        <v>LE9012024724,</v>
      </c>
    </row>
    <row r="3242" spans="3:4">
      <c r="C3242" t="s">
        <v>2187</v>
      </c>
      <c r="D3242" t="str">
        <f t="shared" si="52"/>
        <v>LE9012024819,</v>
      </c>
    </row>
    <row r="3243" spans="3:4">
      <c r="C3243" t="s">
        <v>2203</v>
      </c>
      <c r="D3243" t="str">
        <f t="shared" si="52"/>
        <v>LE9012025562,</v>
      </c>
    </row>
    <row r="3244" spans="3:4">
      <c r="C3244" t="s">
        <v>2192</v>
      </c>
      <c r="D3244" t="str">
        <f t="shared" si="52"/>
        <v>LE9012026811,</v>
      </c>
    </row>
    <row r="3245" spans="3:4">
      <c r="C3245" t="s">
        <v>2584</v>
      </c>
      <c r="D3245" t="str">
        <f t="shared" si="52"/>
        <v>LE9011033418,</v>
      </c>
    </row>
    <row r="3246" spans="3:4">
      <c r="C3246" t="s">
        <v>2122</v>
      </c>
      <c r="D3246" t="str">
        <f t="shared" si="52"/>
        <v>LE9012028728,</v>
      </c>
    </row>
    <row r="3247" spans="3:4">
      <c r="C3247" t="s">
        <v>2211</v>
      </c>
      <c r="D3247" t="str">
        <f t="shared" si="52"/>
        <v>LE9012028730,</v>
      </c>
    </row>
    <row r="3248" spans="3:4">
      <c r="C3248" t="s">
        <v>3277</v>
      </c>
      <c r="D3248" t="str">
        <f t="shared" si="52"/>
        <v>LE9012029786,</v>
      </c>
    </row>
    <row r="3249" spans="3:4">
      <c r="C3249" t="s">
        <v>2585</v>
      </c>
      <c r="D3249" t="str">
        <f t="shared" si="52"/>
        <v>LE9012030842,</v>
      </c>
    </row>
    <row r="3250" spans="3:4">
      <c r="C3250" t="s">
        <v>2586</v>
      </c>
      <c r="D3250" t="str">
        <f t="shared" si="52"/>
        <v>LE9012031019,</v>
      </c>
    </row>
    <row r="3251" spans="3:4">
      <c r="C3251" t="s">
        <v>2086</v>
      </c>
      <c r="D3251" t="str">
        <f t="shared" si="52"/>
        <v>LE9012032757,</v>
      </c>
    </row>
    <row r="3252" spans="3:4">
      <c r="C3252" t="s">
        <v>2171</v>
      </c>
      <c r="D3252" t="str">
        <f t="shared" si="52"/>
        <v>LE9012033189,</v>
      </c>
    </row>
    <row r="3253" spans="3:4">
      <c r="C3253" t="s">
        <v>3292</v>
      </c>
      <c r="D3253" t="str">
        <f t="shared" si="52"/>
        <v>LE9012033190,</v>
      </c>
    </row>
    <row r="3254" spans="3:4">
      <c r="C3254" t="s">
        <v>3285</v>
      </c>
      <c r="D3254" t="str">
        <f t="shared" si="52"/>
        <v>LE9012039002,</v>
      </c>
    </row>
    <row r="3255" spans="3:4">
      <c r="C3255" t="s">
        <v>2088</v>
      </c>
      <c r="D3255" t="str">
        <f t="shared" si="52"/>
        <v>LE9012039730,</v>
      </c>
    </row>
    <row r="3256" spans="3:4">
      <c r="C3256" t="s">
        <v>3290</v>
      </c>
      <c r="D3256" t="str">
        <f t="shared" si="52"/>
        <v>LE9012040431,</v>
      </c>
    </row>
    <row r="3257" spans="3:4">
      <c r="C3257" t="s">
        <v>2175</v>
      </c>
      <c r="D3257" t="str">
        <f t="shared" si="52"/>
        <v>LE9012044700,</v>
      </c>
    </row>
    <row r="3258" spans="3:4">
      <c r="C3258" t="s">
        <v>2182</v>
      </c>
      <c r="D3258" t="str">
        <f t="shared" si="52"/>
        <v>LE9012045534,</v>
      </c>
    </row>
    <row r="3259" spans="3:4">
      <c r="C3259" t="s">
        <v>3249</v>
      </c>
      <c r="D3259" t="str">
        <f t="shared" si="52"/>
        <v>LE9012045999,</v>
      </c>
    </row>
    <row r="3260" spans="3:4">
      <c r="C3260" t="s">
        <v>2158</v>
      </c>
      <c r="D3260" t="str">
        <f t="shared" si="52"/>
        <v>LE9012046806,</v>
      </c>
    </row>
    <row r="3261" spans="3:4">
      <c r="C3261" t="s">
        <v>3294</v>
      </c>
      <c r="D3261" t="str">
        <f t="shared" si="52"/>
        <v>LE9012047218,</v>
      </c>
    </row>
    <row r="3262" spans="3:4">
      <c r="C3262" t="s">
        <v>2223</v>
      </c>
      <c r="D3262" t="str">
        <f t="shared" si="52"/>
        <v>LE9012049005,</v>
      </c>
    </row>
    <row r="3263" spans="3:4">
      <c r="C3263" t="s">
        <v>2912</v>
      </c>
      <c r="D3263" t="str">
        <f t="shared" si="52"/>
        <v>LE9012053244,</v>
      </c>
    </row>
    <row r="3264" spans="3:4">
      <c r="C3264" t="s">
        <v>2504</v>
      </c>
      <c r="D3264" t="str">
        <f t="shared" si="52"/>
        <v>LE9012054562,</v>
      </c>
    </row>
    <row r="3265" spans="3:4">
      <c r="C3265" t="s">
        <v>2350</v>
      </c>
      <c r="D3265" t="str">
        <f t="shared" si="52"/>
        <v>LE9012031980,</v>
      </c>
    </row>
    <row r="3266" spans="3:4">
      <c r="C3266" t="s">
        <v>2288</v>
      </c>
      <c r="D3266" t="str">
        <f t="shared" si="52"/>
        <v>LE9011924940,</v>
      </c>
    </row>
    <row r="3267" spans="3:4">
      <c r="C3267" t="s">
        <v>2344</v>
      </c>
      <c r="D3267" t="str">
        <f t="shared" si="52"/>
        <v>LE9012057764,</v>
      </c>
    </row>
    <row r="3268" spans="3:4">
      <c r="C3268" t="s">
        <v>2505</v>
      </c>
      <c r="D3268" t="str">
        <f t="shared" si="52"/>
        <v>LE9012054852,</v>
      </c>
    </row>
    <row r="3269" spans="3:4">
      <c r="C3269" t="s">
        <v>2477</v>
      </c>
      <c r="D3269" t="str">
        <f t="shared" si="52"/>
        <v>LE9012057618,</v>
      </c>
    </row>
    <row r="3270" spans="3:4">
      <c r="C3270" t="s">
        <v>2372</v>
      </c>
      <c r="D3270" t="str">
        <f t="shared" si="52"/>
        <v>LE9012059137,</v>
      </c>
    </row>
    <row r="3271" spans="3:4">
      <c r="C3271" t="s">
        <v>2546</v>
      </c>
      <c r="D3271" t="str">
        <f t="shared" si="52"/>
        <v>LE9012059191,</v>
      </c>
    </row>
    <row r="3272" spans="3:4">
      <c r="C3272" t="s">
        <v>2362</v>
      </c>
      <c r="D3272" t="str">
        <f t="shared" si="52"/>
        <v>LE9012059816,</v>
      </c>
    </row>
    <row r="3273" spans="3:4">
      <c r="C3273" t="s">
        <v>2338</v>
      </c>
      <c r="D3273" t="str">
        <f t="shared" si="52"/>
        <v>LE9012060027,</v>
      </c>
    </row>
    <row r="3274" spans="3:4">
      <c r="C3274" t="s">
        <v>3306</v>
      </c>
      <c r="D3274" t="str">
        <f t="shared" si="52"/>
        <v>LE9012060371,</v>
      </c>
    </row>
    <row r="3275" spans="3:4">
      <c r="C3275" t="s">
        <v>2292</v>
      </c>
      <c r="D3275" t="str">
        <f t="shared" si="52"/>
        <v>LE9012060835,</v>
      </c>
    </row>
    <row r="3276" spans="3:4">
      <c r="C3276" t="s">
        <v>4321</v>
      </c>
      <c r="D3276" t="str">
        <f t="shared" si="52"/>
        <v>KI7508988640,</v>
      </c>
    </row>
    <row r="3277" spans="3:4">
      <c r="C3277" t="s">
        <v>4322</v>
      </c>
      <c r="D3277" t="str">
        <f t="shared" si="52"/>
        <v>KI7508984880,</v>
      </c>
    </row>
    <row r="3278" spans="3:4">
      <c r="C3278" t="s">
        <v>2306</v>
      </c>
      <c r="D3278" t="str">
        <f t="shared" si="52"/>
        <v>LE9012061753,</v>
      </c>
    </row>
    <row r="3279" spans="3:4">
      <c r="C3279" t="s">
        <v>2343</v>
      </c>
      <c r="D3279" t="str">
        <f t="shared" si="52"/>
        <v>LE9012062055,</v>
      </c>
    </row>
    <row r="3280" spans="3:4">
      <c r="C3280" t="s">
        <v>2332</v>
      </c>
      <c r="D3280" t="str">
        <f t="shared" si="52"/>
        <v>LE9012061808,</v>
      </c>
    </row>
    <row r="3281" spans="3:4">
      <c r="C3281" t="s">
        <v>3230</v>
      </c>
      <c r="D3281" t="str">
        <f t="shared" si="52"/>
        <v>LE9012062694,</v>
      </c>
    </row>
    <row r="3282" spans="3:4">
      <c r="C3282" t="s">
        <v>2339</v>
      </c>
      <c r="D3282" t="str">
        <f t="shared" si="52"/>
        <v>LE9012064486,</v>
      </c>
    </row>
    <row r="3283" spans="3:4">
      <c r="C3283" t="s">
        <v>2323</v>
      </c>
      <c r="D3283" t="str">
        <f t="shared" si="52"/>
        <v>LE9012062920,</v>
      </c>
    </row>
    <row r="3284" spans="3:4">
      <c r="C3284" t="s">
        <v>2353</v>
      </c>
      <c r="D3284" t="str">
        <f t="shared" si="52"/>
        <v>LE9012064574,</v>
      </c>
    </row>
    <row r="3285" spans="3:4">
      <c r="C3285" t="s">
        <v>2308</v>
      </c>
      <c r="D3285" t="str">
        <f t="shared" si="52"/>
        <v>LE9012064660,</v>
      </c>
    </row>
    <row r="3286" spans="3:4">
      <c r="C3286" t="s">
        <v>2440</v>
      </c>
      <c r="D3286" t="str">
        <f t="shared" si="52"/>
        <v>LE9012067651,</v>
      </c>
    </row>
    <row r="3287" spans="3:4">
      <c r="C3287" t="s">
        <v>2326</v>
      </c>
      <c r="D3287" t="str">
        <f t="shared" si="52"/>
        <v>LE9012070242,</v>
      </c>
    </row>
    <row r="3288" spans="3:4">
      <c r="C3288" t="s">
        <v>2361</v>
      </c>
      <c r="D3288" t="str">
        <f t="shared" si="52"/>
        <v>LE9012070626,</v>
      </c>
    </row>
    <row r="3289" spans="3:4">
      <c r="C3289" t="s">
        <v>2335</v>
      </c>
      <c r="D3289" t="str">
        <f t="shared" si="52"/>
        <v>LE9012071707,</v>
      </c>
    </row>
    <row r="3290" spans="3:4">
      <c r="C3290" t="s">
        <v>2336</v>
      </c>
      <c r="D3290" t="str">
        <f t="shared" si="52"/>
        <v>LE9012072123,</v>
      </c>
    </row>
    <row r="3291" spans="3:4">
      <c r="C3291" t="s">
        <v>2370</v>
      </c>
      <c r="D3291" t="str">
        <f t="shared" si="52"/>
        <v>LE9012072139,</v>
      </c>
    </row>
    <row r="3292" spans="3:4">
      <c r="C3292" t="s">
        <v>2329</v>
      </c>
      <c r="D3292" t="str">
        <f t="shared" si="52"/>
        <v>LE9012072803,</v>
      </c>
    </row>
    <row r="3293" spans="3:4">
      <c r="C3293" t="s">
        <v>4323</v>
      </c>
      <c r="D3293" t="str">
        <f t="shared" si="52"/>
        <v>KI7508935086,</v>
      </c>
    </row>
    <row r="3294" spans="3:4">
      <c r="C3294" t="s">
        <v>2319</v>
      </c>
      <c r="D3294" t="str">
        <f t="shared" si="52"/>
        <v>LE9012073624,</v>
      </c>
    </row>
    <row r="3295" spans="3:4">
      <c r="C3295" t="s">
        <v>2898</v>
      </c>
      <c r="D3295" t="str">
        <f t="shared" ref="D3295:D3358" si="53">""&amp;C3295&amp;","</f>
        <v>LE7508430873,</v>
      </c>
    </row>
    <row r="3296" spans="3:4">
      <c r="C3296" t="s">
        <v>2390</v>
      </c>
      <c r="D3296" t="str">
        <f t="shared" si="53"/>
        <v>LE7508431117,</v>
      </c>
    </row>
    <row r="3297" spans="3:4">
      <c r="C3297" t="s">
        <v>3262</v>
      </c>
      <c r="D3297" t="str">
        <f t="shared" si="53"/>
        <v>LE7508468369,</v>
      </c>
    </row>
    <row r="3298" spans="3:4">
      <c r="C3298" t="s">
        <v>2662</v>
      </c>
      <c r="D3298" t="str">
        <f t="shared" si="53"/>
        <v>LE7508468955,</v>
      </c>
    </row>
    <row r="3299" spans="3:4">
      <c r="C3299" t="s">
        <v>3029</v>
      </c>
      <c r="D3299" t="str">
        <f t="shared" si="53"/>
        <v>LE7508504771,</v>
      </c>
    </row>
    <row r="3300" spans="3:4">
      <c r="C3300" t="s">
        <v>2944</v>
      </c>
      <c r="D3300" t="str">
        <f t="shared" si="53"/>
        <v>LE7508507273,</v>
      </c>
    </row>
    <row r="3301" spans="3:4">
      <c r="C3301" t="s">
        <v>3273</v>
      </c>
      <c r="D3301" t="str">
        <f t="shared" si="53"/>
        <v>LE7508511900,</v>
      </c>
    </row>
    <row r="3302" spans="3:4">
      <c r="C3302" t="s">
        <v>3030</v>
      </c>
      <c r="D3302" t="str">
        <f t="shared" si="53"/>
        <v>LE7508511938,</v>
      </c>
    </row>
    <row r="3303" spans="3:4">
      <c r="C3303" t="s">
        <v>2956</v>
      </c>
      <c r="D3303" t="str">
        <f t="shared" si="53"/>
        <v>LE7508535350,</v>
      </c>
    </row>
    <row r="3304" spans="3:4">
      <c r="C3304" t="s">
        <v>3210</v>
      </c>
      <c r="D3304" t="str">
        <f t="shared" si="53"/>
        <v>LE7510097554,</v>
      </c>
    </row>
    <row r="3305" spans="3:4">
      <c r="C3305" t="s">
        <v>1984</v>
      </c>
      <c r="D3305" t="str">
        <f t="shared" si="53"/>
        <v>LE7510100051,</v>
      </c>
    </row>
    <row r="3306" spans="3:4">
      <c r="C3306" t="s">
        <v>3006</v>
      </c>
      <c r="D3306" t="str">
        <f t="shared" si="53"/>
        <v>LE7510105544,</v>
      </c>
    </row>
    <row r="3307" spans="3:4">
      <c r="C3307" t="s">
        <v>3304</v>
      </c>
      <c r="D3307" t="str">
        <f t="shared" si="53"/>
        <v>LE7510109057,</v>
      </c>
    </row>
    <row r="3308" spans="3:4">
      <c r="C3308" t="s">
        <v>3166</v>
      </c>
      <c r="D3308" t="str">
        <f t="shared" si="53"/>
        <v>LE7510114988,</v>
      </c>
    </row>
    <row r="3309" spans="3:4">
      <c r="C3309" t="s">
        <v>3167</v>
      </c>
      <c r="D3309" t="str">
        <f t="shared" si="53"/>
        <v>LE7510117508,</v>
      </c>
    </row>
    <row r="3310" spans="3:4">
      <c r="C3310" t="s">
        <v>3128</v>
      </c>
      <c r="D3310" t="str">
        <f t="shared" si="53"/>
        <v>LE7510126247,</v>
      </c>
    </row>
    <row r="3311" spans="3:4">
      <c r="C3311" t="s">
        <v>2445</v>
      </c>
      <c r="D3311" t="str">
        <f t="shared" si="53"/>
        <v>LE7510128366,</v>
      </c>
    </row>
    <row r="3312" spans="3:4">
      <c r="C3312" t="s">
        <v>3229</v>
      </c>
      <c r="D3312" t="str">
        <f t="shared" si="53"/>
        <v>LE7510138291,</v>
      </c>
    </row>
    <row r="3313" spans="3:4">
      <c r="C3313" t="s">
        <v>2312</v>
      </c>
      <c r="D3313" t="str">
        <f t="shared" si="53"/>
        <v>LE7510152091,</v>
      </c>
    </row>
    <row r="3314" spans="3:4">
      <c r="C3314" t="s">
        <v>2311</v>
      </c>
      <c r="D3314" t="str">
        <f t="shared" si="53"/>
        <v>LE7510162155,</v>
      </c>
    </row>
    <row r="3315" spans="3:4">
      <c r="C3315" t="s">
        <v>3342</v>
      </c>
      <c r="D3315" t="str">
        <f t="shared" si="53"/>
        <v>LE7510166239,</v>
      </c>
    </row>
    <row r="3316" spans="3:4">
      <c r="C3316" t="s">
        <v>2355</v>
      </c>
      <c r="D3316" t="str">
        <f t="shared" si="53"/>
        <v>LE7510169109,</v>
      </c>
    </row>
    <row r="3317" spans="3:4">
      <c r="C3317" t="s">
        <v>2428</v>
      </c>
      <c r="D3317" t="str">
        <f t="shared" si="53"/>
        <v>LE7510169510,</v>
      </c>
    </row>
    <row r="3318" spans="3:4">
      <c r="C3318" t="s">
        <v>2410</v>
      </c>
      <c r="D3318" t="str">
        <f t="shared" si="53"/>
        <v>LE7510170802,</v>
      </c>
    </row>
    <row r="3319" spans="3:4">
      <c r="C3319" t="s">
        <v>2691</v>
      </c>
      <c r="D3319" t="str">
        <f t="shared" si="53"/>
        <v>LE7508451045,</v>
      </c>
    </row>
    <row r="3320" spans="3:4">
      <c r="C3320" t="s">
        <v>2433</v>
      </c>
      <c r="D3320" t="str">
        <f t="shared" si="53"/>
        <v>LE7508485375,</v>
      </c>
    </row>
    <row r="3321" spans="3:4">
      <c r="C3321" t="s">
        <v>1864</v>
      </c>
      <c r="D3321" t="str">
        <f t="shared" si="53"/>
        <v>LE7508486569,</v>
      </c>
    </row>
    <row r="3322" spans="3:4">
      <c r="C3322" t="s">
        <v>2735</v>
      </c>
      <c r="D3322" t="str">
        <f t="shared" si="53"/>
        <v>LE7508487996,</v>
      </c>
    </row>
    <row r="3323" spans="3:4">
      <c r="C3323" t="s">
        <v>1856</v>
      </c>
      <c r="D3323" t="str">
        <f t="shared" si="53"/>
        <v>LE7508489777,</v>
      </c>
    </row>
    <row r="3324" spans="3:4">
      <c r="C3324" t="s">
        <v>2663</v>
      </c>
      <c r="D3324" t="str">
        <f t="shared" si="53"/>
        <v>LE7508491194,</v>
      </c>
    </row>
    <row r="3325" spans="3:4">
      <c r="C3325" t="s">
        <v>2142</v>
      </c>
      <c r="D3325" t="str">
        <f t="shared" si="53"/>
        <v>LE7508493969,</v>
      </c>
    </row>
    <row r="3326" spans="3:4">
      <c r="C3326" t="s">
        <v>2301</v>
      </c>
      <c r="D3326" t="str">
        <f t="shared" si="53"/>
        <v>LE7508494187,</v>
      </c>
    </row>
    <row r="3327" spans="3:4">
      <c r="C3327" t="s">
        <v>1898</v>
      </c>
      <c r="D3327" t="str">
        <f t="shared" si="53"/>
        <v>LE7508494322,</v>
      </c>
    </row>
    <row r="3328" spans="3:4">
      <c r="C3328" t="s">
        <v>3087</v>
      </c>
      <c r="D3328" t="str">
        <f t="shared" si="53"/>
        <v>LE7508499196,</v>
      </c>
    </row>
    <row r="3329" spans="3:4">
      <c r="C3329" t="s">
        <v>3272</v>
      </c>
      <c r="D3329" t="str">
        <f t="shared" si="53"/>
        <v>LE7508502446,</v>
      </c>
    </row>
    <row r="3330" spans="3:4">
      <c r="C3330" t="s">
        <v>3263</v>
      </c>
      <c r="D3330" t="str">
        <f t="shared" si="53"/>
        <v>LE7508507474,</v>
      </c>
    </row>
    <row r="3331" spans="3:4">
      <c r="C3331" t="s">
        <v>2933</v>
      </c>
      <c r="D3331" t="str">
        <f t="shared" si="53"/>
        <v>LE7508509799,</v>
      </c>
    </row>
    <row r="3332" spans="3:4">
      <c r="C3332" t="s">
        <v>3164</v>
      </c>
      <c r="D3332" t="str">
        <f t="shared" si="53"/>
        <v>LE7508511779,</v>
      </c>
    </row>
    <row r="3333" spans="3:4">
      <c r="C3333" t="s">
        <v>2753</v>
      </c>
      <c r="D3333" t="str">
        <f t="shared" si="53"/>
        <v>LE7508512859,</v>
      </c>
    </row>
    <row r="3334" spans="3:4">
      <c r="C3334" t="s">
        <v>3068</v>
      </c>
      <c r="D3334" t="str">
        <f t="shared" si="53"/>
        <v>LE7508515619,</v>
      </c>
    </row>
    <row r="3335" spans="3:4">
      <c r="C3335" t="s">
        <v>2745</v>
      </c>
      <c r="D3335" t="str">
        <f t="shared" si="53"/>
        <v>LE7508516091,</v>
      </c>
    </row>
    <row r="3336" spans="3:4">
      <c r="C3336" t="s">
        <v>2983</v>
      </c>
      <c r="D3336" t="str">
        <f t="shared" si="53"/>
        <v>LE7508518608,</v>
      </c>
    </row>
    <row r="3337" spans="3:4">
      <c r="C3337" t="s">
        <v>3074</v>
      </c>
      <c r="D3337" t="str">
        <f t="shared" si="53"/>
        <v>LE7508519165,</v>
      </c>
    </row>
    <row r="3338" spans="3:4">
      <c r="C3338" t="s">
        <v>2984</v>
      </c>
      <c r="D3338" t="str">
        <f t="shared" si="53"/>
        <v>LE7508523377,</v>
      </c>
    </row>
    <row r="3339" spans="3:4">
      <c r="C3339" t="s">
        <v>2746</v>
      </c>
      <c r="D3339" t="str">
        <f t="shared" si="53"/>
        <v>LE7508533782,</v>
      </c>
    </row>
    <row r="3340" spans="3:4">
      <c r="C3340" t="s">
        <v>2641</v>
      </c>
      <c r="D3340" t="str">
        <f t="shared" si="53"/>
        <v>LE7508533789,</v>
      </c>
    </row>
    <row r="3341" spans="3:4">
      <c r="C3341" t="s">
        <v>2910</v>
      </c>
      <c r="D3341" t="str">
        <f t="shared" si="53"/>
        <v>LE7510094697,</v>
      </c>
    </row>
    <row r="3342" spans="3:4">
      <c r="C3342" t="s">
        <v>2971</v>
      </c>
      <c r="D3342" t="str">
        <f t="shared" si="53"/>
        <v>LE7510094761,</v>
      </c>
    </row>
    <row r="3343" spans="3:4">
      <c r="C3343" t="s">
        <v>2148</v>
      </c>
      <c r="D3343" t="str">
        <f t="shared" si="53"/>
        <v>LE7510099811,</v>
      </c>
    </row>
    <row r="3344" spans="3:4">
      <c r="C3344" t="s">
        <v>3283</v>
      </c>
      <c r="D3344" t="str">
        <f t="shared" si="53"/>
        <v>LE7510101850,</v>
      </c>
    </row>
    <row r="3345" spans="3:4">
      <c r="C3345" t="s">
        <v>2892</v>
      </c>
      <c r="D3345" t="str">
        <f t="shared" si="53"/>
        <v>LE7510102005,</v>
      </c>
    </row>
    <row r="3346" spans="3:4">
      <c r="C3346" t="s">
        <v>2409</v>
      </c>
      <c r="D3346" t="str">
        <f t="shared" si="53"/>
        <v>LE7510102745,</v>
      </c>
    </row>
    <row r="3347" spans="3:4">
      <c r="C3347" t="s">
        <v>3076</v>
      </c>
      <c r="D3347" t="str">
        <f t="shared" si="53"/>
        <v>LE7510107727,</v>
      </c>
    </row>
    <row r="3348" spans="3:4">
      <c r="C3348" t="s">
        <v>2577</v>
      </c>
      <c r="D3348" t="str">
        <f t="shared" si="53"/>
        <v>LE7501239397,</v>
      </c>
    </row>
    <row r="3349" spans="3:4">
      <c r="C3349" t="s">
        <v>2403</v>
      </c>
      <c r="D3349" t="str">
        <f t="shared" si="53"/>
        <v>LE7510112924,</v>
      </c>
    </row>
    <row r="3350" spans="3:4">
      <c r="C3350" t="s">
        <v>2918</v>
      </c>
      <c r="D3350" t="str">
        <f t="shared" si="53"/>
        <v>LE7510112994,</v>
      </c>
    </row>
    <row r="3351" spans="3:4">
      <c r="C3351" t="s">
        <v>3189</v>
      </c>
      <c r="D3351" t="str">
        <f t="shared" si="53"/>
        <v>LE7510113104,</v>
      </c>
    </row>
    <row r="3352" spans="3:4">
      <c r="C3352" t="s">
        <v>2400</v>
      </c>
      <c r="D3352" t="str">
        <f t="shared" si="53"/>
        <v>LE7501239756,</v>
      </c>
    </row>
    <row r="3353" spans="3:4">
      <c r="C3353" t="s">
        <v>2581</v>
      </c>
      <c r="D3353" t="str">
        <f t="shared" si="53"/>
        <v>LE7510119491,</v>
      </c>
    </row>
    <row r="3354" spans="3:4">
      <c r="C3354" t="s">
        <v>3168</v>
      </c>
      <c r="D3354" t="str">
        <f t="shared" si="53"/>
        <v>LE7510121750,</v>
      </c>
    </row>
    <row r="3355" spans="3:4">
      <c r="C3355" t="s">
        <v>2911</v>
      </c>
      <c r="D3355" t="str">
        <f t="shared" si="53"/>
        <v>LE7510126095,</v>
      </c>
    </row>
    <row r="3356" spans="3:4">
      <c r="C3356" t="s">
        <v>3339</v>
      </c>
      <c r="D3356" t="str">
        <f t="shared" si="53"/>
        <v>LE7510127727,</v>
      </c>
    </row>
    <row r="3357" spans="3:4">
      <c r="C3357" t="s">
        <v>3021</v>
      </c>
      <c r="D3357" t="str">
        <f t="shared" si="53"/>
        <v>LE7510128101,</v>
      </c>
    </row>
    <row r="3358" spans="3:4">
      <c r="C3358" t="s">
        <v>2487</v>
      </c>
      <c r="D3358" t="str">
        <f t="shared" si="53"/>
        <v>LE7510133845,</v>
      </c>
    </row>
    <row r="3359" spans="3:4">
      <c r="C3359" t="s">
        <v>2529</v>
      </c>
      <c r="D3359" t="str">
        <f t="shared" ref="D3359:D3422" si="54">""&amp;C3359&amp;","</f>
        <v>LE7510134438,</v>
      </c>
    </row>
    <row r="3360" spans="3:4">
      <c r="C3360" t="s">
        <v>4324</v>
      </c>
      <c r="D3360" t="str">
        <f t="shared" si="54"/>
        <v>GW9011923565,</v>
      </c>
    </row>
    <row r="3361" spans="3:4">
      <c r="C3361" t="s">
        <v>3169</v>
      </c>
      <c r="D3361" t="str">
        <f t="shared" si="54"/>
        <v>LE7510136535,</v>
      </c>
    </row>
    <row r="3362" spans="3:4">
      <c r="C3362" t="s">
        <v>2239</v>
      </c>
      <c r="D3362" t="str">
        <f t="shared" si="54"/>
        <v>LE7510140691,</v>
      </c>
    </row>
    <row r="3363" spans="3:4">
      <c r="C3363" t="s">
        <v>3170</v>
      </c>
      <c r="D3363" t="str">
        <f t="shared" si="54"/>
        <v>LE7510146793,</v>
      </c>
    </row>
    <row r="3364" spans="3:4">
      <c r="C3364" t="s">
        <v>2349</v>
      </c>
      <c r="D3364" t="str">
        <f t="shared" si="54"/>
        <v>LE7510147633,</v>
      </c>
    </row>
    <row r="3365" spans="3:4">
      <c r="C3365" t="s">
        <v>2389</v>
      </c>
      <c r="D3365" t="str">
        <f t="shared" si="54"/>
        <v>LE7510149418,</v>
      </c>
    </row>
    <row r="3366" spans="3:4">
      <c r="C3366" t="s">
        <v>3171</v>
      </c>
      <c r="D3366" t="str">
        <f t="shared" si="54"/>
        <v>LE7510154394,</v>
      </c>
    </row>
    <row r="3367" spans="3:4">
      <c r="C3367" t="s">
        <v>2309</v>
      </c>
      <c r="D3367" t="str">
        <f t="shared" si="54"/>
        <v>LE7510162859,</v>
      </c>
    </row>
    <row r="3368" spans="3:4">
      <c r="C3368" t="s">
        <v>2352</v>
      </c>
      <c r="D3368" t="str">
        <f t="shared" si="54"/>
        <v>LE7510163236,</v>
      </c>
    </row>
    <row r="3369" spans="3:4">
      <c r="C3369" t="s">
        <v>3305</v>
      </c>
      <c r="D3369" t="str">
        <f t="shared" si="54"/>
        <v>LE7510166053,</v>
      </c>
    </row>
    <row r="3370" spans="3:4">
      <c r="C3370" t="s">
        <v>3352</v>
      </c>
      <c r="D3370" t="str">
        <f t="shared" si="54"/>
        <v>LE7510169421,</v>
      </c>
    </row>
    <row r="3371" spans="3:4">
      <c r="C3371" t="s">
        <v>4325</v>
      </c>
      <c r="D3371" t="str">
        <f t="shared" si="54"/>
        <v>LE7510153525,</v>
      </c>
    </row>
    <row r="3372" spans="3:4">
      <c r="C3372" t="s">
        <v>2650</v>
      </c>
      <c r="D3372" t="str">
        <f t="shared" si="54"/>
        <v>LE7508521119,</v>
      </c>
    </row>
    <row r="3373" spans="3:4">
      <c r="C3373" t="s">
        <v>2970</v>
      </c>
      <c r="D3373" t="str">
        <f t="shared" si="54"/>
        <v>LE7501238773,</v>
      </c>
    </row>
    <row r="3374" spans="3:4">
      <c r="C3374" t="s">
        <v>3303</v>
      </c>
      <c r="D3374" t="str">
        <f t="shared" si="54"/>
        <v>LE7510093062,</v>
      </c>
    </row>
    <row r="3375" spans="3:4">
      <c r="C3375" t="s">
        <v>2580</v>
      </c>
      <c r="D3375" t="str">
        <f t="shared" si="54"/>
        <v>LE7510103891,</v>
      </c>
    </row>
    <row r="3376" spans="3:4">
      <c r="C3376" t="s">
        <v>2934</v>
      </c>
      <c r="D3376" t="str">
        <f t="shared" si="54"/>
        <v>LE7510111381,</v>
      </c>
    </row>
    <row r="3377" spans="3:4">
      <c r="C3377" t="s">
        <v>2238</v>
      </c>
      <c r="D3377" t="str">
        <f t="shared" si="54"/>
        <v>LE7501240367,</v>
      </c>
    </row>
    <row r="3378" spans="3:4">
      <c r="C3378" t="s">
        <v>3144</v>
      </c>
      <c r="D3378" t="str">
        <f t="shared" si="54"/>
        <v>LE7510138786,</v>
      </c>
    </row>
    <row r="3379" spans="3:4">
      <c r="C3379" t="s">
        <v>3145</v>
      </c>
      <c r="D3379" t="str">
        <f t="shared" si="54"/>
        <v>LE7510143220,</v>
      </c>
    </row>
    <row r="3380" spans="3:4">
      <c r="C3380" t="s">
        <v>3146</v>
      </c>
      <c r="D3380" t="str">
        <f t="shared" si="54"/>
        <v>LE7510155443,</v>
      </c>
    </row>
    <row r="3381" spans="3:4">
      <c r="C3381" t="s">
        <v>3384</v>
      </c>
      <c r="D3381" t="str">
        <f t="shared" si="54"/>
        <v>LE7510162417,</v>
      </c>
    </row>
    <row r="3382" spans="3:4">
      <c r="C3382" t="s">
        <v>2293</v>
      </c>
      <c r="D3382" t="str">
        <f t="shared" si="54"/>
        <v>LE7510162468,</v>
      </c>
    </row>
    <row r="3383" spans="3:4">
      <c r="C3383" t="s">
        <v>2333</v>
      </c>
      <c r="D3383" t="str">
        <f t="shared" si="54"/>
        <v>LE7510164877,</v>
      </c>
    </row>
    <row r="3384" spans="3:4">
      <c r="C3384" t="s">
        <v>3020</v>
      </c>
      <c r="D3384" t="str">
        <f t="shared" si="54"/>
        <v>LE7510107393,</v>
      </c>
    </row>
    <row r="3385" spans="3:4">
      <c r="C3385" t="s">
        <v>2783</v>
      </c>
      <c r="D3385" t="str">
        <f t="shared" si="54"/>
        <v>LE7508466463,</v>
      </c>
    </row>
    <row r="3386" spans="3:4">
      <c r="C3386" t="s">
        <v>3185</v>
      </c>
      <c r="D3386" t="str">
        <f t="shared" si="54"/>
        <v>LE7508482552,</v>
      </c>
    </row>
    <row r="3387" spans="3:4">
      <c r="C3387" t="s">
        <v>3004</v>
      </c>
      <c r="D3387" t="str">
        <f t="shared" si="54"/>
        <v>LE7508505972,</v>
      </c>
    </row>
    <row r="3388" spans="3:4">
      <c r="C3388" t="s">
        <v>3073</v>
      </c>
      <c r="D3388" t="str">
        <f t="shared" si="54"/>
        <v>LE7508508937,</v>
      </c>
    </row>
    <row r="3389" spans="3:4">
      <c r="C3389" t="s">
        <v>2982</v>
      </c>
      <c r="D3389" t="str">
        <f t="shared" si="54"/>
        <v>LE7508511770,</v>
      </c>
    </row>
    <row r="3390" spans="3:4">
      <c r="C3390" t="s">
        <v>3186</v>
      </c>
      <c r="D3390" t="str">
        <f t="shared" si="54"/>
        <v>LE7508526529,</v>
      </c>
    </row>
    <row r="3391" spans="3:4">
      <c r="C3391" t="s">
        <v>3075</v>
      </c>
      <c r="D3391" t="str">
        <f t="shared" si="54"/>
        <v>LE7508526576,</v>
      </c>
    </row>
    <row r="3392" spans="3:4">
      <c r="C3392" t="s">
        <v>3187</v>
      </c>
      <c r="D3392" t="str">
        <f t="shared" si="54"/>
        <v>LE7508527576,</v>
      </c>
    </row>
    <row r="3393" spans="3:4">
      <c r="C3393" t="s">
        <v>3019</v>
      </c>
      <c r="D3393" t="str">
        <f t="shared" si="54"/>
        <v>LE7508529064,</v>
      </c>
    </row>
    <row r="3394" spans="3:4">
      <c r="C3394" t="s">
        <v>3188</v>
      </c>
      <c r="D3394" t="str">
        <f t="shared" si="54"/>
        <v>LE7508534643,</v>
      </c>
    </row>
    <row r="3395" spans="3:4">
      <c r="C3395" t="s">
        <v>2994</v>
      </c>
      <c r="D3395" t="str">
        <f t="shared" si="54"/>
        <v>LE7510093385,</v>
      </c>
    </row>
    <row r="3396" spans="3:4">
      <c r="C3396" t="s">
        <v>2651</v>
      </c>
      <c r="D3396" t="str">
        <f t="shared" si="54"/>
        <v>LE7510098775,</v>
      </c>
    </row>
    <row r="3397" spans="3:4">
      <c r="C3397" t="s">
        <v>3126</v>
      </c>
      <c r="D3397" t="str">
        <f t="shared" si="54"/>
        <v>LE7510118408,</v>
      </c>
    </row>
    <row r="3398" spans="3:4">
      <c r="C3398" t="s">
        <v>3127</v>
      </c>
      <c r="D3398" t="str">
        <f t="shared" si="54"/>
        <v>LE7510118539,</v>
      </c>
    </row>
    <row r="3399" spans="3:4">
      <c r="C3399" t="s">
        <v>3129</v>
      </c>
      <c r="D3399" t="str">
        <f t="shared" si="54"/>
        <v>LE7510128447,</v>
      </c>
    </row>
    <row r="3400" spans="3:4">
      <c r="C3400" t="s">
        <v>3228</v>
      </c>
      <c r="D3400" t="str">
        <f t="shared" si="54"/>
        <v>LE7510135099,</v>
      </c>
    </row>
    <row r="3401" spans="3:4">
      <c r="C3401" t="s">
        <v>2462</v>
      </c>
      <c r="D3401" t="str">
        <f t="shared" si="54"/>
        <v>LE7510141006,</v>
      </c>
    </row>
    <row r="3402" spans="3:4">
      <c r="C3402" t="s">
        <v>3341</v>
      </c>
      <c r="D3402" t="str">
        <f t="shared" si="54"/>
        <v>LE7510162020,</v>
      </c>
    </row>
    <row r="3403" spans="3:4">
      <c r="C3403" t="s">
        <v>3046</v>
      </c>
      <c r="D3403" t="str">
        <f t="shared" si="54"/>
        <v>LE7508448381,</v>
      </c>
    </row>
    <row r="3404" spans="3:4">
      <c r="C3404" t="s">
        <v>3338</v>
      </c>
      <c r="D3404" t="str">
        <f t="shared" si="54"/>
        <v>LE7508452607,</v>
      </c>
    </row>
    <row r="3405" spans="3:4">
      <c r="C3405" t="s">
        <v>3028</v>
      </c>
      <c r="D3405" t="str">
        <f t="shared" si="54"/>
        <v>LE7508459747,</v>
      </c>
    </row>
    <row r="3406" spans="3:4">
      <c r="C3406" t="s">
        <v>2784</v>
      </c>
      <c r="D3406" t="str">
        <f t="shared" si="54"/>
        <v>LE7508483510,</v>
      </c>
    </row>
    <row r="3407" spans="3:4">
      <c r="C3407" t="s">
        <v>2931</v>
      </c>
      <c r="D3407" t="str">
        <f t="shared" si="54"/>
        <v>LE7508486427,</v>
      </c>
    </row>
    <row r="3408" spans="3:4">
      <c r="C3408" t="s">
        <v>3018</v>
      </c>
      <c r="D3408" t="str">
        <f t="shared" si="54"/>
        <v>LE7508488394,</v>
      </c>
    </row>
    <row r="3409" spans="3:4">
      <c r="C3409" t="s">
        <v>3239</v>
      </c>
      <c r="D3409" t="str">
        <f t="shared" si="54"/>
        <v>LE7508491040,</v>
      </c>
    </row>
    <row r="3410" spans="3:4">
      <c r="C3410" t="s">
        <v>2932</v>
      </c>
      <c r="D3410" t="str">
        <f t="shared" si="54"/>
        <v>LE7508493273,</v>
      </c>
    </row>
    <row r="3411" spans="3:4">
      <c r="C3411" t="s">
        <v>2955</v>
      </c>
      <c r="D3411" t="str">
        <f t="shared" si="54"/>
        <v>LE7508494730,</v>
      </c>
    </row>
    <row r="3412" spans="3:4">
      <c r="C3412" t="s">
        <v>2785</v>
      </c>
      <c r="D3412" t="str">
        <f t="shared" si="54"/>
        <v>LE7508496689,</v>
      </c>
    </row>
    <row r="3413" spans="3:4">
      <c r="C3413" t="s">
        <v>2061</v>
      </c>
      <c r="D3413" t="str">
        <f t="shared" si="54"/>
        <v>LE7508497662,</v>
      </c>
    </row>
    <row r="3414" spans="3:4">
      <c r="C3414" t="s">
        <v>3060</v>
      </c>
      <c r="D3414" t="str">
        <f t="shared" si="54"/>
        <v>LE7508502550,</v>
      </c>
    </row>
    <row r="3415" spans="3:4">
      <c r="C3415" t="s">
        <v>3053</v>
      </c>
      <c r="D3415" t="str">
        <f t="shared" si="54"/>
        <v>LE7508502554,</v>
      </c>
    </row>
    <row r="3416" spans="3:4">
      <c r="C3416" t="s">
        <v>3282</v>
      </c>
      <c r="D3416" t="str">
        <f t="shared" si="54"/>
        <v>LE7508504362,</v>
      </c>
    </row>
    <row r="3417" spans="3:4">
      <c r="C3417" t="s">
        <v>3005</v>
      </c>
      <c r="D3417" t="str">
        <f t="shared" si="54"/>
        <v>LE7508512173,</v>
      </c>
    </row>
    <row r="3418" spans="3:4">
      <c r="C3418" t="s">
        <v>3165</v>
      </c>
      <c r="D3418" t="str">
        <f t="shared" si="54"/>
        <v>LE7508524186,</v>
      </c>
    </row>
    <row r="3419" spans="3:4">
      <c r="C3419" t="s">
        <v>2118</v>
      </c>
      <c r="D3419" t="str">
        <f t="shared" si="54"/>
        <v>LE7508529410,</v>
      </c>
    </row>
    <row r="3420" spans="3:4">
      <c r="C3420" t="s">
        <v>3351</v>
      </c>
      <c r="D3420" t="str">
        <f t="shared" si="54"/>
        <v>LE7510095002,</v>
      </c>
    </row>
    <row r="3421" spans="3:4">
      <c r="C3421" t="s">
        <v>2234</v>
      </c>
      <c r="D3421" t="str">
        <f t="shared" si="54"/>
        <v>LE7510112801,</v>
      </c>
    </row>
    <row r="3422" spans="3:4">
      <c r="C3422" t="s">
        <v>3253</v>
      </c>
      <c r="D3422" t="str">
        <f t="shared" si="54"/>
        <v>LE7510117320,</v>
      </c>
    </row>
    <row r="3423" spans="3:4">
      <c r="C3423" t="s">
        <v>3328</v>
      </c>
      <c r="D3423" t="str">
        <f t="shared" ref="D3423:D3486" si="55">""&amp;C3423&amp;","</f>
        <v>LE7510125972,</v>
      </c>
    </row>
    <row r="3424" spans="3:4">
      <c r="C3424" t="s">
        <v>2582</v>
      </c>
      <c r="D3424" t="str">
        <f t="shared" si="55"/>
        <v>LE7510149913,</v>
      </c>
    </row>
    <row r="3425" spans="3:4">
      <c r="C3425" t="s">
        <v>3340</v>
      </c>
      <c r="D3425" t="str">
        <f t="shared" si="55"/>
        <v>LE7510158114,</v>
      </c>
    </row>
    <row r="3426" spans="3:4">
      <c r="C3426" t="s">
        <v>3242</v>
      </c>
      <c r="D3426" t="str">
        <f t="shared" si="55"/>
        <v>DI9011925156,</v>
      </c>
    </row>
    <row r="3427" spans="3:4">
      <c r="C3427" t="s">
        <v>2510</v>
      </c>
      <c r="D3427" t="str">
        <f t="shared" si="55"/>
        <v>DG9011920494,</v>
      </c>
    </row>
    <row r="3428" spans="3:4">
      <c r="C3428" t="s">
        <v>2347</v>
      </c>
      <c r="D3428" t="str">
        <f t="shared" si="55"/>
        <v>LK9012077171,</v>
      </c>
    </row>
    <row r="3429" spans="3:4">
      <c r="C3429" t="s">
        <v>1854</v>
      </c>
      <c r="D3429" t="str">
        <f t="shared" si="55"/>
        <v>LY7507588212,</v>
      </c>
    </row>
    <row r="3430" spans="3:4">
      <c r="C3430" t="s">
        <v>3007</v>
      </c>
      <c r="D3430" t="str">
        <f t="shared" si="55"/>
        <v>LY7507588539,</v>
      </c>
    </row>
    <row r="3431" spans="3:4">
      <c r="C3431" t="s">
        <v>3329</v>
      </c>
      <c r="D3431" t="str">
        <f t="shared" si="55"/>
        <v>LY7507588656,</v>
      </c>
    </row>
    <row r="3432" spans="3:4">
      <c r="C3432" t="s">
        <v>2294</v>
      </c>
      <c r="D3432" t="str">
        <f t="shared" si="55"/>
        <v>LY7507588804,</v>
      </c>
    </row>
    <row r="3433" spans="3:4">
      <c r="C3433" t="s">
        <v>3190</v>
      </c>
      <c r="D3433" t="str">
        <f t="shared" si="55"/>
        <v>MM9011796253,</v>
      </c>
    </row>
    <row r="3434" spans="3:4">
      <c r="C3434" t="s">
        <v>2511</v>
      </c>
      <c r="D3434" t="str">
        <f t="shared" si="55"/>
        <v>DP7508562624,</v>
      </c>
    </row>
    <row r="3435" spans="3:4">
      <c r="C3435" t="s">
        <v>2398</v>
      </c>
      <c r="D3435" t="str">
        <f t="shared" si="55"/>
        <v>DP7508562532,</v>
      </c>
    </row>
    <row r="3436" spans="3:4">
      <c r="C3436" t="s">
        <v>3108</v>
      </c>
      <c r="D3436" t="str">
        <f t="shared" si="55"/>
        <v>DP7508561130,</v>
      </c>
    </row>
    <row r="3437" spans="3:4">
      <c r="C3437" t="s">
        <v>3114</v>
      </c>
      <c r="D3437" t="str">
        <f t="shared" si="55"/>
        <v>DP7508560746,</v>
      </c>
    </row>
    <row r="3438" spans="3:4">
      <c r="C3438" t="s">
        <v>3212</v>
      </c>
      <c r="D3438" t="str">
        <f t="shared" si="55"/>
        <v>MN7513083902,</v>
      </c>
    </row>
    <row r="3439" spans="3:4">
      <c r="C3439" t="s">
        <v>3240</v>
      </c>
      <c r="D3439" t="str">
        <f t="shared" si="55"/>
        <v>MN7513084938,</v>
      </c>
    </row>
    <row r="3440" spans="3:4">
      <c r="C3440" t="s">
        <v>2985</v>
      </c>
      <c r="D3440" t="str">
        <f t="shared" si="55"/>
        <v>MN7513087911,</v>
      </c>
    </row>
    <row r="3441" spans="3:4">
      <c r="C3441" t="s">
        <v>2322</v>
      </c>
      <c r="D3441" t="str">
        <f t="shared" si="55"/>
        <v>MN7513089363,</v>
      </c>
    </row>
    <row r="3442" spans="3:4">
      <c r="C3442" t="s">
        <v>3353</v>
      </c>
      <c r="D3442" t="str">
        <f t="shared" si="55"/>
        <v>MN7513090531,</v>
      </c>
    </row>
    <row r="3443" spans="3:4">
      <c r="C3443" t="s">
        <v>2913</v>
      </c>
      <c r="D3443" t="str">
        <f t="shared" si="55"/>
        <v>MN7513082943,</v>
      </c>
    </row>
    <row r="3444" spans="3:4">
      <c r="C3444" t="s">
        <v>3077</v>
      </c>
      <c r="D3444" t="str">
        <f t="shared" si="55"/>
        <v>MN7513083374,</v>
      </c>
    </row>
    <row r="3445" spans="3:4">
      <c r="C3445" t="s">
        <v>3147</v>
      </c>
      <c r="D3445" t="str">
        <f t="shared" si="55"/>
        <v>MN7513089082,</v>
      </c>
    </row>
    <row r="3446" spans="3:4">
      <c r="C3446" t="s">
        <v>2900</v>
      </c>
      <c r="D3446" t="str">
        <f t="shared" si="55"/>
        <v>MN7513089782,</v>
      </c>
    </row>
    <row r="3447" spans="3:4">
      <c r="C3447" t="s">
        <v>3213</v>
      </c>
      <c r="D3447" t="str">
        <f t="shared" si="55"/>
        <v>MW7503789602,</v>
      </c>
    </row>
    <row r="3448" spans="3:4">
      <c r="C3448" t="s">
        <v>2531</v>
      </c>
      <c r="D3448" t="str">
        <f t="shared" si="55"/>
        <v>MW7503789534,</v>
      </c>
    </row>
    <row r="3449" spans="3:4">
      <c r="C3449" t="s">
        <v>3058</v>
      </c>
      <c r="D3449" t="str">
        <f t="shared" si="55"/>
        <v>ST9011800375,</v>
      </c>
    </row>
    <row r="3450" spans="3:4">
      <c r="C3450" t="s">
        <v>2483</v>
      </c>
      <c r="D3450" t="str">
        <f t="shared" si="55"/>
        <v>ST9011929898,</v>
      </c>
    </row>
    <row r="3451" spans="3:4">
      <c r="C3451" t="s">
        <v>3067</v>
      </c>
      <c r="D3451" t="str">
        <f t="shared" si="55"/>
        <v>JM9011924064,</v>
      </c>
    </row>
    <row r="3452" spans="3:4">
      <c r="C3452" t="s">
        <v>2588</v>
      </c>
      <c r="D3452" t="str">
        <f t="shared" si="55"/>
        <v>MX9012038494,</v>
      </c>
    </row>
    <row r="3453" spans="3:4">
      <c r="C3453" t="s">
        <v>2570</v>
      </c>
      <c r="D3453" t="str">
        <f t="shared" si="55"/>
        <v>MX9012075971,</v>
      </c>
    </row>
    <row r="3454" spans="3:4">
      <c r="C3454" t="s">
        <v>2363</v>
      </c>
      <c r="D3454" t="str">
        <f t="shared" si="55"/>
        <v>MX9012078437,</v>
      </c>
    </row>
    <row r="3455" spans="3:4">
      <c r="C3455" t="s">
        <v>2240</v>
      </c>
      <c r="D3455" t="str">
        <f t="shared" si="55"/>
        <v>MX7512759021,</v>
      </c>
    </row>
    <row r="3456" spans="3:4">
      <c r="C3456" t="s">
        <v>3345</v>
      </c>
      <c r="D3456" t="str">
        <f t="shared" si="55"/>
        <v>DA7507836039,</v>
      </c>
    </row>
    <row r="3457" spans="3:4">
      <c r="C3457" t="s">
        <v>3215</v>
      </c>
      <c r="D3457" t="str">
        <f t="shared" si="55"/>
        <v>MX7512748698,</v>
      </c>
    </row>
    <row r="3458" spans="3:4">
      <c r="C3458" t="s">
        <v>2695</v>
      </c>
      <c r="D3458" t="str">
        <f t="shared" si="55"/>
        <v>MX7512750340,</v>
      </c>
    </row>
    <row r="3459" spans="3:4">
      <c r="C3459" t="s">
        <v>2507</v>
      </c>
      <c r="D3459" t="str">
        <f t="shared" si="55"/>
        <v>MX7512755702,</v>
      </c>
    </row>
    <row r="3460" spans="3:4">
      <c r="C3460" t="s">
        <v>3022</v>
      </c>
      <c r="D3460" t="str">
        <f t="shared" si="55"/>
        <v>MX7512759685,</v>
      </c>
    </row>
    <row r="3461" spans="3:4">
      <c r="C3461" t="s">
        <v>3054</v>
      </c>
      <c r="D3461" t="str">
        <f t="shared" si="55"/>
        <v>MX7512760247,</v>
      </c>
    </row>
    <row r="3462" spans="3:4">
      <c r="C3462" t="s">
        <v>3231</v>
      </c>
      <c r="D3462" t="str">
        <f t="shared" si="55"/>
        <v>MX7512762579,</v>
      </c>
    </row>
    <row r="3463" spans="3:4">
      <c r="C3463" t="s">
        <v>2418</v>
      </c>
      <c r="D3463" t="str">
        <f t="shared" si="55"/>
        <v>MX7512766748,</v>
      </c>
    </row>
    <row r="3464" spans="3:4">
      <c r="C3464" t="s">
        <v>2438</v>
      </c>
      <c r="D3464" t="str">
        <f t="shared" si="55"/>
        <v>MX7512767226,</v>
      </c>
    </row>
    <row r="3465" spans="3:4">
      <c r="C3465" t="s">
        <v>3264</v>
      </c>
      <c r="D3465" t="str">
        <f t="shared" si="55"/>
        <v>MX7512749147,</v>
      </c>
    </row>
    <row r="3466" spans="3:4">
      <c r="C3466" t="s">
        <v>3055</v>
      </c>
      <c r="D3466" t="str">
        <f t="shared" si="55"/>
        <v>MX7512996809,</v>
      </c>
    </row>
    <row r="3467" spans="3:4">
      <c r="C3467" t="s">
        <v>3275</v>
      </c>
      <c r="D3467" t="str">
        <f t="shared" si="55"/>
        <v>MX7512762479,</v>
      </c>
    </row>
    <row r="3468" spans="3:4">
      <c r="C3468" t="s">
        <v>2340</v>
      </c>
      <c r="D3468" t="str">
        <f t="shared" si="55"/>
        <v>MX7512997869,</v>
      </c>
    </row>
    <row r="3469" spans="3:4">
      <c r="C3469" t="s">
        <v>3250</v>
      </c>
      <c r="D3469" t="str">
        <f t="shared" si="55"/>
        <v>MX7512754061,</v>
      </c>
    </row>
    <row r="3470" spans="3:4">
      <c r="C3470" t="s">
        <v>2404</v>
      </c>
      <c r="D3470" t="str">
        <f t="shared" si="55"/>
        <v>MX7512760375,</v>
      </c>
    </row>
    <row r="3471" spans="3:4">
      <c r="C3471" t="s">
        <v>3274</v>
      </c>
      <c r="D3471" t="str">
        <f t="shared" si="55"/>
        <v>MX7512749605,</v>
      </c>
    </row>
    <row r="3472" spans="3:4">
      <c r="C3472" t="s">
        <v>3089</v>
      </c>
      <c r="D3472" t="str">
        <f t="shared" si="55"/>
        <v>MX7512756510,</v>
      </c>
    </row>
    <row r="3473" spans="3:4">
      <c r="C3473" t="s">
        <v>2382</v>
      </c>
      <c r="D3473" t="str">
        <f t="shared" si="55"/>
        <v>MX7512765442,</v>
      </c>
    </row>
    <row r="3474" spans="3:4">
      <c r="C3474" t="s">
        <v>2047</v>
      </c>
      <c r="D3474" t="str">
        <f t="shared" si="55"/>
        <v>MG7507560862,</v>
      </c>
    </row>
    <row r="3475" spans="3:4">
      <c r="C3475" t="s">
        <v>3148</v>
      </c>
      <c r="D3475" t="str">
        <f t="shared" si="55"/>
        <v>NS9011923873,</v>
      </c>
    </row>
    <row r="3476" spans="3:4">
      <c r="C3476" t="s">
        <v>3298</v>
      </c>
      <c r="D3476" t="str">
        <f t="shared" si="55"/>
        <v>CH7503638908,</v>
      </c>
    </row>
    <row r="3477" spans="3:4">
      <c r="C3477" t="s">
        <v>2555</v>
      </c>
      <c r="D3477" t="str">
        <f t="shared" si="55"/>
        <v>CH9011812628,</v>
      </c>
    </row>
    <row r="3478" spans="3:4">
      <c r="C3478" t="s">
        <v>2957</v>
      </c>
      <c r="D3478" t="str">
        <f t="shared" si="55"/>
        <v>OK7514367936,</v>
      </c>
    </row>
    <row r="3479" spans="3:4">
      <c r="C3479" t="s">
        <v>3265</v>
      </c>
      <c r="D3479" t="str">
        <f t="shared" si="55"/>
        <v>OK7514368436,</v>
      </c>
    </row>
    <row r="3480" spans="3:4">
      <c r="C3480" t="s">
        <v>2378</v>
      </c>
      <c r="D3480" t="str">
        <f t="shared" si="55"/>
        <v>OK7514368767,</v>
      </c>
    </row>
    <row r="3481" spans="3:4">
      <c r="C3481" t="s">
        <v>2914</v>
      </c>
      <c r="D3481" t="str">
        <f t="shared" si="55"/>
        <v>OK7514466882,</v>
      </c>
    </row>
    <row r="3482" spans="3:4">
      <c r="C3482" t="s">
        <v>2068</v>
      </c>
      <c r="D3482" t="str">
        <f t="shared" si="55"/>
        <v>OK7514466883,</v>
      </c>
    </row>
    <row r="3483" spans="3:4">
      <c r="C3483" t="s">
        <v>3031</v>
      </c>
      <c r="D3483" t="str">
        <f t="shared" si="55"/>
        <v>OK7514467598,</v>
      </c>
    </row>
    <row r="3484" spans="3:4">
      <c r="C3484" t="s">
        <v>3254</v>
      </c>
      <c r="D3484" t="str">
        <f t="shared" si="55"/>
        <v>OK7514468311,</v>
      </c>
    </row>
    <row r="3485" spans="3:4">
      <c r="C3485" t="s">
        <v>2419</v>
      </c>
      <c r="D3485" t="str">
        <f t="shared" si="55"/>
        <v>OK7514472858,</v>
      </c>
    </row>
    <row r="3486" spans="3:4">
      <c r="C3486" t="s">
        <v>2972</v>
      </c>
      <c r="D3486" t="str">
        <f t="shared" si="55"/>
        <v>OK7514470654,</v>
      </c>
    </row>
    <row r="3487" spans="3:4">
      <c r="C3487" t="s">
        <v>2891</v>
      </c>
      <c r="D3487" t="str">
        <f t="shared" ref="D3487:D3550" si="56">""&amp;C3487&amp;","</f>
        <v>CC7503198145,</v>
      </c>
    </row>
    <row r="3488" spans="3:4">
      <c r="C3488" t="s">
        <v>3309</v>
      </c>
      <c r="D3488" t="str">
        <f t="shared" si="56"/>
        <v>CC7503198381,</v>
      </c>
    </row>
    <row r="3489" spans="3:4">
      <c r="C3489" t="s">
        <v>1899</v>
      </c>
      <c r="D3489" t="str">
        <f t="shared" si="56"/>
        <v>PW9012003870,</v>
      </c>
    </row>
    <row r="3490" spans="3:4">
      <c r="C3490" t="s">
        <v>1881</v>
      </c>
      <c r="D3490" t="str">
        <f t="shared" si="56"/>
        <v>PW9012013384,</v>
      </c>
    </row>
    <row r="3491" spans="3:4">
      <c r="C3491" t="s">
        <v>2307</v>
      </c>
      <c r="D3491" t="str">
        <f t="shared" si="56"/>
        <v>PW9012077887,</v>
      </c>
    </row>
    <row r="3492" spans="3:4">
      <c r="C3492" t="s">
        <v>2342</v>
      </c>
      <c r="D3492" t="str">
        <f t="shared" si="56"/>
        <v>PW9012083014,</v>
      </c>
    </row>
    <row r="3493" spans="3:4">
      <c r="C3493" t="s">
        <v>3102</v>
      </c>
      <c r="D3493" t="str">
        <f t="shared" si="56"/>
        <v>PW7513554530,</v>
      </c>
    </row>
    <row r="3494" spans="3:4">
      <c r="C3494" t="s">
        <v>2364</v>
      </c>
      <c r="D3494" t="str">
        <f t="shared" si="56"/>
        <v>PW7513555875,</v>
      </c>
    </row>
    <row r="3495" spans="3:4">
      <c r="C3495" t="s">
        <v>2151</v>
      </c>
      <c r="D3495" t="str">
        <f t="shared" si="56"/>
        <v>PW7513559325,</v>
      </c>
    </row>
    <row r="3496" spans="3:4">
      <c r="C3496" t="s">
        <v>2351</v>
      </c>
      <c r="D3496" t="str">
        <f t="shared" si="56"/>
        <v>PW7513563727,</v>
      </c>
    </row>
    <row r="3497" spans="3:4">
      <c r="C3497" t="s">
        <v>2034</v>
      </c>
      <c r="D3497" t="str">
        <f t="shared" si="56"/>
        <v>PW7513553341,</v>
      </c>
    </row>
    <row r="3498" spans="3:4">
      <c r="C3498" t="s">
        <v>2094</v>
      </c>
      <c r="D3498" t="str">
        <f t="shared" si="56"/>
        <v>PW7513556273,</v>
      </c>
    </row>
    <row r="3499" spans="3:4">
      <c r="C3499" t="s">
        <v>2945</v>
      </c>
      <c r="D3499" t="str">
        <f t="shared" si="56"/>
        <v>PW7513556442,</v>
      </c>
    </row>
    <row r="3500" spans="3:4">
      <c r="C3500" t="s">
        <v>3191</v>
      </c>
      <c r="D3500" t="str">
        <f t="shared" si="56"/>
        <v>PW7513559310,</v>
      </c>
    </row>
    <row r="3501" spans="3:4">
      <c r="C3501" t="s">
        <v>3255</v>
      </c>
      <c r="D3501" t="str">
        <f t="shared" si="56"/>
        <v>PW7513559936,</v>
      </c>
    </row>
    <row r="3502" spans="3:4">
      <c r="C3502" t="s">
        <v>2394</v>
      </c>
      <c r="D3502" t="str">
        <f t="shared" si="56"/>
        <v>PW7513562009,</v>
      </c>
    </row>
    <row r="3503" spans="3:4">
      <c r="C3503" t="s">
        <v>2443</v>
      </c>
      <c r="D3503" t="str">
        <f t="shared" si="56"/>
        <v>PW7513562102,</v>
      </c>
    </row>
    <row r="3504" spans="3:4">
      <c r="C3504" t="s">
        <v>3330</v>
      </c>
      <c r="D3504" t="str">
        <f t="shared" si="56"/>
        <v>PD9011933297,</v>
      </c>
    </row>
    <row r="3505" spans="3:4">
      <c r="C3505" t="s">
        <v>2026</v>
      </c>
      <c r="D3505" t="str">
        <f t="shared" si="56"/>
        <v>UE7503405621,</v>
      </c>
    </row>
    <row r="3506" spans="3:4">
      <c r="C3506" t="s">
        <v>2935</v>
      </c>
      <c r="D3506" t="str">
        <f t="shared" si="56"/>
        <v>UE7503405757,</v>
      </c>
    </row>
    <row r="3507" spans="3:4">
      <c r="C3507" t="s">
        <v>3193</v>
      </c>
      <c r="D3507" t="str">
        <f t="shared" si="56"/>
        <v>RY7506830363,</v>
      </c>
    </row>
    <row r="3508" spans="3:4">
      <c r="C3508" t="s">
        <v>3343</v>
      </c>
      <c r="D3508" t="str">
        <f t="shared" si="56"/>
        <v>RY7506830821,</v>
      </c>
    </row>
    <row r="3509" spans="3:4">
      <c r="C3509" t="s">
        <v>2411</v>
      </c>
      <c r="D3509" t="str">
        <f t="shared" si="56"/>
        <v>RY7506830876,</v>
      </c>
    </row>
    <row r="3510" spans="3:4">
      <c r="C3510" t="s">
        <v>1935</v>
      </c>
      <c r="D3510" t="str">
        <f t="shared" si="56"/>
        <v>RN9012031175,</v>
      </c>
    </row>
    <row r="3511" spans="3:4">
      <c r="C3511" t="s">
        <v>2571</v>
      </c>
      <c r="D3511" t="str">
        <f t="shared" si="56"/>
        <v>RN9012044367,</v>
      </c>
    </row>
    <row r="3512" spans="3:4">
      <c r="C3512" t="s">
        <v>2572</v>
      </c>
      <c r="D3512" t="str">
        <f t="shared" si="56"/>
        <v>RN9012065051,</v>
      </c>
    </row>
    <row r="3513" spans="3:4">
      <c r="C3513" t="s">
        <v>2181</v>
      </c>
      <c r="D3513" t="str">
        <f t="shared" si="56"/>
        <v>RN9012066618,</v>
      </c>
    </row>
    <row r="3514" spans="3:4">
      <c r="C3514" t="s">
        <v>2348</v>
      </c>
      <c r="D3514" t="str">
        <f t="shared" si="56"/>
        <v>RN9012068415,</v>
      </c>
    </row>
    <row r="3515" spans="3:4">
      <c r="C3515" t="s">
        <v>3266</v>
      </c>
      <c r="D3515" t="str">
        <f t="shared" si="56"/>
        <v>RN7503439120,</v>
      </c>
    </row>
    <row r="3516" spans="3:4">
      <c r="C3516" t="s">
        <v>2463</v>
      </c>
      <c r="D3516" t="str">
        <f t="shared" si="56"/>
        <v>RN7514617252,</v>
      </c>
    </row>
    <row r="3517" spans="3:4">
      <c r="C3517" t="s">
        <v>3194</v>
      </c>
      <c r="D3517" t="str">
        <f t="shared" si="56"/>
        <v>BA7507943001,</v>
      </c>
    </row>
    <row r="3518" spans="3:4">
      <c r="C3518" t="s">
        <v>2894</v>
      </c>
      <c r="D3518" t="str">
        <f t="shared" si="56"/>
        <v>BA7507941840,</v>
      </c>
    </row>
    <row r="3519" spans="3:4">
      <c r="C3519" t="s">
        <v>3009</v>
      </c>
      <c r="D3519" t="str">
        <f t="shared" si="56"/>
        <v>BA7507941252,</v>
      </c>
    </row>
    <row r="3520" spans="3:4">
      <c r="C3520" t="s">
        <v>3232</v>
      </c>
      <c r="D3520" t="str">
        <f t="shared" si="56"/>
        <v>BA7507941222,</v>
      </c>
    </row>
    <row r="3521" spans="3:4">
      <c r="C3521" t="s">
        <v>3133</v>
      </c>
      <c r="D3521" t="str">
        <f t="shared" si="56"/>
        <v>BA7507939254,</v>
      </c>
    </row>
    <row r="3522" spans="3:4">
      <c r="C3522" t="s">
        <v>2446</v>
      </c>
      <c r="D3522" t="str">
        <f t="shared" si="56"/>
        <v>BA0060845277,</v>
      </c>
    </row>
    <row r="3523" spans="3:4">
      <c r="C3523" t="s">
        <v>3241</v>
      </c>
      <c r="D3523" t="str">
        <f t="shared" si="56"/>
        <v>RW0060935188,</v>
      </c>
    </row>
    <row r="3524" spans="3:4">
      <c r="C3524" t="s">
        <v>2396</v>
      </c>
      <c r="D3524" t="str">
        <f t="shared" si="56"/>
        <v>RW0060928563,</v>
      </c>
    </row>
    <row r="3525" spans="3:4">
      <c r="C3525" t="s">
        <v>2219</v>
      </c>
      <c r="D3525" t="str">
        <f t="shared" si="56"/>
        <v>RW7507304160,</v>
      </c>
    </row>
    <row r="3526" spans="3:4">
      <c r="C3526" t="s">
        <v>3130</v>
      </c>
      <c r="D3526" t="str">
        <f t="shared" si="56"/>
        <v>RW7507295654,</v>
      </c>
    </row>
    <row r="3527" spans="3:4">
      <c r="C3527" t="s">
        <v>3149</v>
      </c>
      <c r="D3527" t="str">
        <f t="shared" si="56"/>
        <v>RW7507305183,</v>
      </c>
    </row>
    <row r="3528" spans="3:4">
      <c r="C3528" t="s">
        <v>2481</v>
      </c>
      <c r="D3528" t="str">
        <f t="shared" si="56"/>
        <v>RW7515001062,</v>
      </c>
    </row>
    <row r="3529" spans="3:4">
      <c r="C3529" t="s">
        <v>2986</v>
      </c>
      <c r="D3529" t="str">
        <f t="shared" si="56"/>
        <v>RW7507302408,</v>
      </c>
    </row>
    <row r="3530" spans="3:4">
      <c r="C3530" t="s">
        <v>3078</v>
      </c>
      <c r="D3530" t="str">
        <f t="shared" si="56"/>
        <v>RW7507301749,</v>
      </c>
    </row>
    <row r="3531" spans="3:4">
      <c r="C3531" t="s">
        <v>3331</v>
      </c>
      <c r="D3531" t="str">
        <f t="shared" si="56"/>
        <v>RW7502481901,</v>
      </c>
    </row>
    <row r="3532" spans="3:4">
      <c r="C3532" t="s">
        <v>2384</v>
      </c>
      <c r="D3532" t="str">
        <f t="shared" si="56"/>
        <v>RW7502482187,</v>
      </c>
    </row>
    <row r="3533" spans="3:4">
      <c r="C3533" t="s">
        <v>2385</v>
      </c>
      <c r="D3533" t="str">
        <f t="shared" si="56"/>
        <v>RW7502482139,</v>
      </c>
    </row>
    <row r="3534" spans="3:4">
      <c r="C3534" t="s">
        <v>2408</v>
      </c>
      <c r="D3534" t="str">
        <f t="shared" si="56"/>
        <v>RW7502482129,</v>
      </c>
    </row>
    <row r="3535" spans="3:4">
      <c r="C3535" t="s">
        <v>2207</v>
      </c>
      <c r="D3535" t="str">
        <f t="shared" si="56"/>
        <v>BW7513892388,</v>
      </c>
    </row>
    <row r="3536" spans="3:4">
      <c r="C3536" t="s">
        <v>2089</v>
      </c>
      <c r="D3536" t="str">
        <f t="shared" si="56"/>
        <v>NO9011923073,</v>
      </c>
    </row>
    <row r="3537" spans="3:4">
      <c r="C3537" t="s">
        <v>3307</v>
      </c>
      <c r="D3537" t="str">
        <f t="shared" si="56"/>
        <v>BW7513893516,</v>
      </c>
    </row>
    <row r="3538" spans="3:4">
      <c r="C3538" t="s">
        <v>2406</v>
      </c>
      <c r="D3538" t="str">
        <f t="shared" si="56"/>
        <v>SQ7503446813,</v>
      </c>
    </row>
    <row r="3539" spans="3:4">
      <c r="C3539" t="s">
        <v>3081</v>
      </c>
      <c r="D3539" t="str">
        <f t="shared" si="56"/>
        <v>SW9012026411,</v>
      </c>
    </row>
    <row r="3540" spans="3:4">
      <c r="C3540" t="s">
        <v>2165</v>
      </c>
      <c r="D3540" t="str">
        <f t="shared" si="56"/>
        <v>BW7513891591,</v>
      </c>
    </row>
    <row r="3541" spans="3:4">
      <c r="C3541" t="s">
        <v>2916</v>
      </c>
      <c r="D3541" t="str">
        <f t="shared" si="56"/>
        <v>BW7513893000,</v>
      </c>
    </row>
    <row r="3542" spans="3:4">
      <c r="C3542" t="s">
        <v>3079</v>
      </c>
      <c r="D3542" t="str">
        <f t="shared" si="56"/>
        <v>SA9012014666,</v>
      </c>
    </row>
    <row r="3543" spans="3:4">
      <c r="C3543" t="s">
        <v>2946</v>
      </c>
      <c r="D3543" t="str">
        <f t="shared" si="56"/>
        <v>SA7514144153,</v>
      </c>
    </row>
    <row r="3544" spans="3:4">
      <c r="C3544" t="s">
        <v>3150</v>
      </c>
      <c r="D3544" t="str">
        <f t="shared" si="56"/>
        <v>SA7514144210,</v>
      </c>
    </row>
    <row r="3545" spans="3:4">
      <c r="C3545" t="s">
        <v>3056</v>
      </c>
      <c r="D3545" t="str">
        <f t="shared" si="56"/>
        <v>SA7514141812,</v>
      </c>
    </row>
    <row r="3546" spans="3:4">
      <c r="C3546" t="s">
        <v>3061</v>
      </c>
      <c r="D3546" t="str">
        <f t="shared" si="56"/>
        <v>SA7514143243,</v>
      </c>
    </row>
    <row r="3547" spans="3:4">
      <c r="C3547" t="s">
        <v>3032</v>
      </c>
      <c r="D3547" t="str">
        <f t="shared" si="56"/>
        <v>SA7514143712,</v>
      </c>
    </row>
    <row r="3548" spans="3:4">
      <c r="C3548" t="s">
        <v>2973</v>
      </c>
      <c r="D3548" t="str">
        <f t="shared" si="56"/>
        <v>SA7514150593,</v>
      </c>
    </row>
    <row r="3549" spans="3:4">
      <c r="C3549" t="s">
        <v>3286</v>
      </c>
      <c r="D3549" t="str">
        <f t="shared" si="56"/>
        <v>SA7514076943,</v>
      </c>
    </row>
    <row r="3550" spans="3:4">
      <c r="C3550" t="s">
        <v>2402</v>
      </c>
      <c r="D3550" t="str">
        <f t="shared" si="56"/>
        <v>SA7514077412,</v>
      </c>
    </row>
    <row r="3551" spans="3:4">
      <c r="C3551" t="s">
        <v>2901</v>
      </c>
      <c r="D3551" t="str">
        <f t="shared" ref="D3551:D3614" si="57">""&amp;C3551&amp;","</f>
        <v>SA7514077483,</v>
      </c>
    </row>
    <row r="3552" spans="3:4">
      <c r="C3552" t="s">
        <v>3344</v>
      </c>
      <c r="D3552" t="str">
        <f t="shared" si="57"/>
        <v>SA7514078160,</v>
      </c>
    </row>
    <row r="3553" spans="3:4">
      <c r="C3553" t="s">
        <v>2423</v>
      </c>
      <c r="D3553" t="str">
        <f t="shared" si="57"/>
        <v>SA7514080507,</v>
      </c>
    </row>
    <row r="3554" spans="3:4">
      <c r="C3554" t="s">
        <v>3333</v>
      </c>
      <c r="D3554" t="str">
        <f t="shared" si="57"/>
        <v>SA7514080939,</v>
      </c>
    </row>
    <row r="3555" spans="3:4">
      <c r="C3555" t="s">
        <v>3334</v>
      </c>
      <c r="D3555" t="str">
        <f t="shared" si="57"/>
        <v>SA7514080990,</v>
      </c>
    </row>
    <row r="3556" spans="3:4">
      <c r="C3556" t="s">
        <v>2021</v>
      </c>
      <c r="D3556" t="str">
        <f t="shared" si="57"/>
        <v>SA7507888272,</v>
      </c>
    </row>
    <row r="3557" spans="3:4">
      <c r="C3557" t="s">
        <v>2919</v>
      </c>
      <c r="D3557" t="str">
        <f t="shared" si="57"/>
        <v>SA7514151111,</v>
      </c>
    </row>
    <row r="3558" spans="3:4">
      <c r="C3558" t="s">
        <v>3332</v>
      </c>
      <c r="D3558" t="str">
        <f t="shared" si="57"/>
        <v>SA7514080210,</v>
      </c>
    </row>
    <row r="3559" spans="3:4">
      <c r="C3559" t="s">
        <v>2387</v>
      </c>
      <c r="D3559" t="str">
        <f t="shared" si="57"/>
        <v>SA7514080668,</v>
      </c>
    </row>
    <row r="3560" spans="3:4">
      <c r="C3560" t="s">
        <v>2902</v>
      </c>
      <c r="D3560" t="str">
        <f t="shared" si="57"/>
        <v>SA7514145167,</v>
      </c>
    </row>
    <row r="3561" spans="3:4">
      <c r="C3561" t="s">
        <v>3131</v>
      </c>
      <c r="D3561" t="str">
        <f t="shared" si="57"/>
        <v>SA7514146164,</v>
      </c>
    </row>
    <row r="3562" spans="3:4">
      <c r="C3562" t="s">
        <v>2997</v>
      </c>
      <c r="D3562" t="str">
        <f t="shared" si="57"/>
        <v>SA7514147529,</v>
      </c>
    </row>
    <row r="3563" spans="3:4">
      <c r="C3563" t="s">
        <v>2903</v>
      </c>
      <c r="D3563" t="str">
        <f t="shared" si="57"/>
        <v>SA7514148281,</v>
      </c>
    </row>
    <row r="3564" spans="3:4">
      <c r="C3564" t="s">
        <v>3112</v>
      </c>
      <c r="D3564" t="str">
        <f t="shared" si="57"/>
        <v>SA7514149337,</v>
      </c>
    </row>
    <row r="3565" spans="3:4">
      <c r="C3565" t="s">
        <v>3276</v>
      </c>
      <c r="D3565" t="str">
        <f t="shared" si="57"/>
        <v>SA7514149973,</v>
      </c>
    </row>
    <row r="3566" spans="3:4">
      <c r="C3566" t="s">
        <v>3216</v>
      </c>
      <c r="D3566" t="str">
        <f t="shared" si="57"/>
        <v>SA7514076792,</v>
      </c>
    </row>
    <row r="3567" spans="3:4">
      <c r="C3567" t="s">
        <v>4123</v>
      </c>
      <c r="D3567" t="str">
        <f t="shared" si="57"/>
        <v>SA7514076997,</v>
      </c>
    </row>
    <row r="3568" spans="3:4">
      <c r="C3568" t="s">
        <v>2509</v>
      </c>
      <c r="D3568" t="str">
        <f t="shared" si="57"/>
        <v>SA7514080485,</v>
      </c>
    </row>
    <row r="3569" spans="3:4">
      <c r="C3569" t="s">
        <v>2553</v>
      </c>
      <c r="D3569" t="str">
        <f t="shared" si="57"/>
        <v>SH7513675811,</v>
      </c>
    </row>
    <row r="3570" spans="3:4">
      <c r="C3570" t="s">
        <v>3151</v>
      </c>
      <c r="D3570" t="str">
        <f t="shared" si="57"/>
        <v>SP7504694546,</v>
      </c>
    </row>
    <row r="3571" spans="3:4">
      <c r="C3571" t="s">
        <v>3152</v>
      </c>
      <c r="D3571" t="str">
        <f t="shared" si="57"/>
        <v>BR7502731944,</v>
      </c>
    </row>
    <row r="3572" spans="3:4">
      <c r="C3572" t="s">
        <v>3094</v>
      </c>
      <c r="D3572" t="str">
        <f t="shared" si="57"/>
        <v>SP9012013265,</v>
      </c>
    </row>
    <row r="3573" spans="3:4">
      <c r="C3573" t="s">
        <v>2974</v>
      </c>
      <c r="D3573" t="str">
        <f t="shared" si="57"/>
        <v>SP7514183013,</v>
      </c>
    </row>
    <row r="3574" spans="3:4">
      <c r="C3574" t="s">
        <v>3257</v>
      </c>
      <c r="D3574" t="str">
        <f t="shared" si="57"/>
        <v>SP7514183578,</v>
      </c>
    </row>
    <row r="3575" spans="3:4">
      <c r="C3575" t="s">
        <v>2920</v>
      </c>
      <c r="D3575" t="str">
        <f t="shared" si="57"/>
        <v>SP7514184394,</v>
      </c>
    </row>
    <row r="3576" spans="3:4">
      <c r="C3576" t="s">
        <v>3057</v>
      </c>
      <c r="D3576" t="str">
        <f t="shared" si="57"/>
        <v>SP7514184674,</v>
      </c>
    </row>
    <row r="3577" spans="3:4">
      <c r="C3577" t="s">
        <v>2589</v>
      </c>
      <c r="D3577" t="str">
        <f t="shared" si="57"/>
        <v>SP7514184801,</v>
      </c>
    </row>
    <row r="3578" spans="3:4">
      <c r="C3578" t="s">
        <v>3267</v>
      </c>
      <c r="D3578" t="str">
        <f t="shared" si="57"/>
        <v>SP7514185148,</v>
      </c>
    </row>
    <row r="3579" spans="3:4">
      <c r="C3579" t="s">
        <v>2989</v>
      </c>
      <c r="D3579" t="str">
        <f t="shared" si="57"/>
        <v>SP7514186149,</v>
      </c>
    </row>
    <row r="3580" spans="3:4">
      <c r="C3580" t="s">
        <v>2998</v>
      </c>
      <c r="D3580" t="str">
        <f t="shared" si="57"/>
        <v>SP7514211310,</v>
      </c>
    </row>
    <row r="3581" spans="3:4">
      <c r="C3581" t="s">
        <v>3132</v>
      </c>
      <c r="D3581" t="str">
        <f t="shared" si="57"/>
        <v>SP7514211737,</v>
      </c>
    </row>
    <row r="3582" spans="3:4">
      <c r="C3582" t="s">
        <v>2533</v>
      </c>
      <c r="D3582" t="str">
        <f t="shared" si="57"/>
        <v>SR7503828400,</v>
      </c>
    </row>
    <row r="3583" spans="3:4">
      <c r="C3583" t="s">
        <v>2958</v>
      </c>
      <c r="D3583" t="str">
        <f t="shared" si="57"/>
        <v>SL7507527265,</v>
      </c>
    </row>
    <row r="3584" spans="3:4">
      <c r="C3584" t="s">
        <v>3008</v>
      </c>
      <c r="D3584" t="str">
        <f t="shared" si="57"/>
        <v>SL7508018700,</v>
      </c>
    </row>
    <row r="3585" spans="3:4">
      <c r="C3585" t="s">
        <v>2987</v>
      </c>
      <c r="D3585" t="str">
        <f t="shared" si="57"/>
        <v>SL7508018909,</v>
      </c>
    </row>
    <row r="3586" spans="3:4">
      <c r="C3586" t="s">
        <v>3335</v>
      </c>
      <c r="D3586" t="str">
        <f t="shared" si="57"/>
        <v>SL7507529684,</v>
      </c>
    </row>
    <row r="3587" spans="3:4">
      <c r="C3587" t="s">
        <v>2298</v>
      </c>
      <c r="D3587" t="str">
        <f t="shared" si="57"/>
        <v>SL7508019296,</v>
      </c>
    </row>
    <row r="3588" spans="3:4">
      <c r="C3588" t="s">
        <v>2380</v>
      </c>
      <c r="D3588" t="str">
        <f t="shared" si="57"/>
        <v>SZ7513632472,</v>
      </c>
    </row>
    <row r="3589" spans="3:4">
      <c r="C3589" t="s">
        <v>3080</v>
      </c>
      <c r="D3589" t="str">
        <f t="shared" si="57"/>
        <v>SI7504129787,</v>
      </c>
    </row>
    <row r="3590" spans="3:4">
      <c r="C3590" t="s">
        <v>3062</v>
      </c>
      <c r="D3590" t="str">
        <f t="shared" si="57"/>
        <v>TM7513952043,</v>
      </c>
    </row>
    <row r="3591" spans="3:4">
      <c r="C3591" t="s">
        <v>2893</v>
      </c>
      <c r="D3591" t="str">
        <f t="shared" si="57"/>
        <v>TM7513952357,</v>
      </c>
    </row>
    <row r="3592" spans="3:4">
      <c r="C3592" t="s">
        <v>1623</v>
      </c>
      <c r="D3592" t="str">
        <f t="shared" si="57"/>
        <v>VR9012011287,</v>
      </c>
    </row>
    <row r="3593" spans="3:4">
      <c r="C3593" t="s">
        <v>2554</v>
      </c>
      <c r="D3593" t="str">
        <f t="shared" si="57"/>
        <v>VR9012050900,</v>
      </c>
    </row>
    <row r="3594" spans="3:4">
      <c r="C3594" t="s">
        <v>1945</v>
      </c>
      <c r="D3594" t="str">
        <f t="shared" si="57"/>
        <v>VR7503501101,</v>
      </c>
    </row>
    <row r="3595" spans="3:4">
      <c r="C3595" t="s">
        <v>3251</v>
      </c>
      <c r="D3595" t="str">
        <f t="shared" si="57"/>
        <v>WZ7507898830,</v>
      </c>
    </row>
    <row r="3596" spans="3:4">
      <c r="C3596" t="s">
        <v>3370</v>
      </c>
      <c r="D3596" t="str">
        <f t="shared" si="57"/>
        <v>AP7504159988,</v>
      </c>
    </row>
    <row r="3597" spans="3:4">
      <c r="C3597" t="s">
        <v>2337</v>
      </c>
      <c r="D3597" t="str">
        <f t="shared" si="57"/>
        <v>AB7507599757,</v>
      </c>
    </row>
    <row r="3598" spans="3:4">
      <c r="C3598" t="s">
        <v>2056</v>
      </c>
      <c r="D3598" t="str">
        <f t="shared" si="57"/>
        <v>AB7507599109,</v>
      </c>
    </row>
    <row r="3599" spans="3:4">
      <c r="C3599" t="s">
        <v>4326</v>
      </c>
      <c r="D3599" t="str">
        <f t="shared" si="57"/>
        <v>WC7506798848,</v>
      </c>
    </row>
    <row r="3600" spans="3:4">
      <c r="C3600" t="s">
        <v>4327</v>
      </c>
      <c r="D3600" t="str">
        <f t="shared" si="57"/>
        <v>WC7506798894,</v>
      </c>
    </row>
    <row r="3601" spans="3:4">
      <c r="C3601" t="s">
        <v>4328</v>
      </c>
      <c r="D3601" t="str">
        <f t="shared" si="57"/>
        <v>WC7506798954,</v>
      </c>
    </row>
    <row r="3602" spans="3:4">
      <c r="C3602" t="s">
        <v>4329</v>
      </c>
      <c r="D3602" t="str">
        <f t="shared" si="57"/>
        <v>WC7503533914,</v>
      </c>
    </row>
    <row r="3603" spans="3:4">
      <c r="C3603" t="s">
        <v>4330</v>
      </c>
      <c r="D3603" t="str">
        <f t="shared" si="57"/>
        <v>ID7512547612,</v>
      </c>
    </row>
    <row r="3604" spans="3:4">
      <c r="C3604" t="s">
        <v>4331</v>
      </c>
      <c r="D3604" t="str">
        <f t="shared" si="57"/>
        <v>GW0060921892,</v>
      </c>
    </row>
    <row r="3605" spans="3:4">
      <c r="C3605" t="s">
        <v>3869</v>
      </c>
      <c r="D3605" t="str">
        <f t="shared" si="57"/>
        <v>GW9011112089,</v>
      </c>
    </row>
    <row r="3606" spans="3:4">
      <c r="C3606" t="s">
        <v>3868</v>
      </c>
      <c r="D3606" t="str">
        <f t="shared" si="57"/>
        <v>GW9011033591,</v>
      </c>
    </row>
    <row r="3607" spans="3:4">
      <c r="C3607" t="s">
        <v>3865</v>
      </c>
      <c r="D3607" t="str">
        <f t="shared" si="57"/>
        <v>GW7514767485,</v>
      </c>
    </row>
    <row r="3608" spans="3:4">
      <c r="C3608" t="s">
        <v>3866</v>
      </c>
      <c r="D3608" t="str">
        <f t="shared" si="57"/>
        <v>GW7514769004,</v>
      </c>
    </row>
    <row r="3609" spans="3:4">
      <c r="C3609" t="s">
        <v>3867</v>
      </c>
      <c r="D3609" t="str">
        <f t="shared" si="57"/>
        <v>GW7514770536,</v>
      </c>
    </row>
    <row r="3610" spans="3:4">
      <c r="C3610" t="s">
        <v>4332</v>
      </c>
      <c r="D3610" t="str">
        <f t="shared" si="57"/>
        <v>GW7514772995,</v>
      </c>
    </row>
    <row r="3611" spans="3:4">
      <c r="C3611" t="s">
        <v>3870</v>
      </c>
      <c r="D3611" t="str">
        <f t="shared" si="57"/>
        <v>HD7514717883,</v>
      </c>
    </row>
    <row r="3612" spans="3:4">
      <c r="C3612" t="s">
        <v>3872</v>
      </c>
      <c r="D3612" t="str">
        <f t="shared" si="57"/>
        <v>HD7514722330,</v>
      </c>
    </row>
    <row r="3613" spans="3:4">
      <c r="C3613" t="s">
        <v>3881</v>
      </c>
      <c r="D3613" t="str">
        <f t="shared" si="57"/>
        <v>ID7512545617,</v>
      </c>
    </row>
    <row r="3614" spans="3:4">
      <c r="C3614" t="s">
        <v>4171</v>
      </c>
      <c r="D3614" t="str">
        <f t="shared" si="57"/>
        <v>ID7512549805,</v>
      </c>
    </row>
    <row r="3615" spans="3:4">
      <c r="C3615" t="s">
        <v>4178</v>
      </c>
      <c r="D3615" t="str">
        <f t="shared" ref="D3615:D3678" si="58">""&amp;C3615&amp;","</f>
        <v>ID7512550566,</v>
      </c>
    </row>
    <row r="3616" spans="3:4">
      <c r="C3616" t="s">
        <v>4207</v>
      </c>
      <c r="D3616" t="str">
        <f t="shared" si="58"/>
        <v>ID7512551304,</v>
      </c>
    </row>
    <row r="3617" spans="3:4">
      <c r="C3617" t="s">
        <v>3877</v>
      </c>
      <c r="D3617" t="str">
        <f t="shared" si="58"/>
        <v>ID7512533417,</v>
      </c>
    </row>
    <row r="3618" spans="3:4">
      <c r="C3618" t="s">
        <v>3878</v>
      </c>
      <c r="D3618" t="str">
        <f t="shared" si="58"/>
        <v>ID7512539376,</v>
      </c>
    </row>
    <row r="3619" spans="3:4">
      <c r="C3619" t="s">
        <v>3879</v>
      </c>
      <c r="D3619" t="str">
        <f t="shared" si="58"/>
        <v>ID7512540279,</v>
      </c>
    </row>
    <row r="3620" spans="3:4">
      <c r="C3620" t="s">
        <v>3880</v>
      </c>
      <c r="D3620" t="str">
        <f t="shared" si="58"/>
        <v>ID7512542849,</v>
      </c>
    </row>
    <row r="3621" spans="3:4">
      <c r="C3621" t="s">
        <v>3882</v>
      </c>
      <c r="D3621" t="str">
        <f t="shared" si="58"/>
        <v>ID7512546782,</v>
      </c>
    </row>
    <row r="3622" spans="3:4">
      <c r="C3622" t="s">
        <v>3883</v>
      </c>
      <c r="D3622" t="str">
        <f t="shared" si="58"/>
        <v>ID7512546795,</v>
      </c>
    </row>
    <row r="3623" spans="3:4">
      <c r="C3623" t="s">
        <v>4333</v>
      </c>
      <c r="D3623" t="str">
        <f t="shared" si="58"/>
        <v>ID7512549363,</v>
      </c>
    </row>
    <row r="3624" spans="3:4">
      <c r="C3624" t="s">
        <v>4225</v>
      </c>
      <c r="D3624" t="str">
        <f t="shared" si="58"/>
        <v>ID7512549447,</v>
      </c>
    </row>
    <row r="3625" spans="3:4">
      <c r="C3625" t="s">
        <v>4222</v>
      </c>
      <c r="D3625" t="str">
        <f t="shared" si="58"/>
        <v>ID7512549449,</v>
      </c>
    </row>
    <row r="3626" spans="3:4">
      <c r="C3626" t="s">
        <v>4177</v>
      </c>
      <c r="D3626" t="str">
        <f t="shared" si="58"/>
        <v>ID7512550694,</v>
      </c>
    </row>
    <row r="3627" spans="3:4">
      <c r="C3627" t="s">
        <v>4210</v>
      </c>
      <c r="D3627" t="str">
        <f t="shared" si="58"/>
        <v>ID7512550713,</v>
      </c>
    </row>
    <row r="3628" spans="3:4">
      <c r="C3628" t="s">
        <v>4200</v>
      </c>
      <c r="D3628" t="str">
        <f t="shared" si="58"/>
        <v>ID7512550714,</v>
      </c>
    </row>
    <row r="3629" spans="3:4">
      <c r="C3629" t="s">
        <v>4218</v>
      </c>
      <c r="D3629" t="str">
        <f t="shared" si="58"/>
        <v>ID7512550715,</v>
      </c>
    </row>
    <row r="3630" spans="3:4">
      <c r="C3630" t="s">
        <v>4334</v>
      </c>
      <c r="D3630" t="str">
        <f t="shared" si="58"/>
        <v>ID7512550750,</v>
      </c>
    </row>
    <row r="3631" spans="3:4">
      <c r="C3631" t="s">
        <v>4335</v>
      </c>
      <c r="D3631" t="str">
        <f t="shared" si="58"/>
        <v>ID7512550752,</v>
      </c>
    </row>
    <row r="3632" spans="3:4">
      <c r="C3632" t="s">
        <v>3888</v>
      </c>
      <c r="D3632" t="str">
        <f t="shared" si="58"/>
        <v>JN7503985738,</v>
      </c>
    </row>
    <row r="3633" spans="3:4">
      <c r="C3633" t="s">
        <v>3891</v>
      </c>
      <c r="D3633" t="str">
        <f t="shared" si="58"/>
        <v>JR7513596854,</v>
      </c>
    </row>
    <row r="3634" spans="3:4">
      <c r="C3634" t="s">
        <v>3892</v>
      </c>
      <c r="D3634" t="str">
        <f t="shared" si="58"/>
        <v>JR7513597070,</v>
      </c>
    </row>
    <row r="3635" spans="3:4">
      <c r="C3635" t="s">
        <v>4167</v>
      </c>
      <c r="D3635" t="str">
        <f t="shared" si="58"/>
        <v>JG7503727283,</v>
      </c>
    </row>
    <row r="3636" spans="3:4">
      <c r="C3636" t="s">
        <v>4336</v>
      </c>
      <c r="D3636" t="str">
        <f t="shared" si="58"/>
        <v>JG7503727360,</v>
      </c>
    </row>
    <row r="3637" spans="3:4">
      <c r="C3637" t="s">
        <v>4337</v>
      </c>
      <c r="D3637" t="str">
        <f t="shared" si="58"/>
        <v>JM7514163567,</v>
      </c>
    </row>
    <row r="3638" spans="3:4">
      <c r="C3638" t="s">
        <v>3786</v>
      </c>
      <c r="D3638" t="str">
        <f t="shared" si="58"/>
        <v>AM7513778661,</v>
      </c>
    </row>
    <row r="3639" spans="3:4">
      <c r="C3639" t="s">
        <v>4226</v>
      </c>
      <c r="D3639" t="str">
        <f t="shared" si="58"/>
        <v>AM7513778689,</v>
      </c>
    </row>
    <row r="3640" spans="3:4">
      <c r="C3640" t="s">
        <v>4338</v>
      </c>
      <c r="D3640" t="str">
        <f t="shared" si="58"/>
        <v>AM7513779473,</v>
      </c>
    </row>
    <row r="3641" spans="3:4">
      <c r="C3641" t="s">
        <v>4339</v>
      </c>
      <c r="D3641" t="str">
        <f t="shared" si="58"/>
        <v>AM7513779730,</v>
      </c>
    </row>
    <row r="3642" spans="3:4">
      <c r="C3642" t="s">
        <v>4340</v>
      </c>
      <c r="D3642" t="str">
        <f t="shared" si="58"/>
        <v>AM7513779432,</v>
      </c>
    </row>
    <row r="3643" spans="3:4">
      <c r="C3643" t="s">
        <v>4192</v>
      </c>
      <c r="D3643" t="str">
        <f t="shared" si="58"/>
        <v>KI0069912320,</v>
      </c>
    </row>
    <row r="3644" spans="3:4">
      <c r="C3644" t="s">
        <v>1839</v>
      </c>
      <c r="D3644" t="str">
        <f t="shared" si="58"/>
        <v>KI9012199118,</v>
      </c>
    </row>
    <row r="3645" spans="3:4">
      <c r="C3645" t="s">
        <v>3970</v>
      </c>
      <c r="D3645" t="str">
        <f t="shared" si="58"/>
        <v>KI9011925965,</v>
      </c>
    </row>
    <row r="3646" spans="3:4">
      <c r="C3646" t="s">
        <v>3974</v>
      </c>
      <c r="D3646" t="str">
        <f t="shared" si="58"/>
        <v>KI9012061821,</v>
      </c>
    </row>
    <row r="3647" spans="3:4">
      <c r="C3647" t="s">
        <v>3941</v>
      </c>
      <c r="D3647" t="str">
        <f t="shared" si="58"/>
        <v>KI7508917546,</v>
      </c>
    </row>
    <row r="3648" spans="3:4">
      <c r="C3648" t="s">
        <v>4175</v>
      </c>
      <c r="D3648" t="str">
        <f t="shared" si="58"/>
        <v>FS7512220240,</v>
      </c>
    </row>
    <row r="3649" spans="3:4">
      <c r="C3649" t="s">
        <v>3947</v>
      </c>
      <c r="D3649" t="str">
        <f t="shared" si="58"/>
        <v>KI7508933986,</v>
      </c>
    </row>
    <row r="3650" spans="3:4">
      <c r="C3650" t="s">
        <v>3965</v>
      </c>
      <c r="D3650" t="str">
        <f t="shared" si="58"/>
        <v>KI7508977181,</v>
      </c>
    </row>
    <row r="3651" spans="3:4">
      <c r="C3651" t="s">
        <v>4341</v>
      </c>
      <c r="D3651" t="str">
        <f t="shared" si="58"/>
        <v>FS7512210816,</v>
      </c>
    </row>
    <row r="3652" spans="3:4">
      <c r="C3652" t="s">
        <v>3851</v>
      </c>
      <c r="D3652" t="str">
        <f t="shared" si="58"/>
        <v>FS7512209313,</v>
      </c>
    </row>
    <row r="3653" spans="3:4">
      <c r="C3653" t="s">
        <v>4173</v>
      </c>
      <c r="D3653" t="str">
        <f t="shared" si="58"/>
        <v>KI7509008544,</v>
      </c>
    </row>
    <row r="3654" spans="3:4">
      <c r="C3654" t="s">
        <v>4342</v>
      </c>
      <c r="D3654" t="str">
        <f t="shared" si="58"/>
        <v>KI7509009384,</v>
      </c>
    </row>
    <row r="3655" spans="3:4">
      <c r="C3655" t="s">
        <v>3904</v>
      </c>
      <c r="D3655" t="str">
        <f t="shared" si="58"/>
        <v>KI7508639849,</v>
      </c>
    </row>
    <row r="3656" spans="3:4">
      <c r="C3656" t="s">
        <v>3923</v>
      </c>
      <c r="D3656" t="str">
        <f t="shared" si="58"/>
        <v>KI7508824763,</v>
      </c>
    </row>
    <row r="3657" spans="3:4">
      <c r="C3657" t="s">
        <v>3931</v>
      </c>
      <c r="D3657" t="str">
        <f t="shared" si="58"/>
        <v>KI7508870147,</v>
      </c>
    </row>
    <row r="3658" spans="3:4">
      <c r="C3658" t="s">
        <v>3932</v>
      </c>
      <c r="D3658" t="str">
        <f t="shared" si="58"/>
        <v>KI7508870530,</v>
      </c>
    </row>
    <row r="3659" spans="3:4">
      <c r="C3659" t="s">
        <v>3934</v>
      </c>
      <c r="D3659" t="str">
        <f t="shared" si="58"/>
        <v>KI7508878214,</v>
      </c>
    </row>
    <row r="3660" spans="3:4">
      <c r="C3660" t="s">
        <v>4343</v>
      </c>
      <c r="D3660" t="str">
        <f t="shared" si="58"/>
        <v>FS7512198652,</v>
      </c>
    </row>
    <row r="3661" spans="3:4">
      <c r="C3661" t="s">
        <v>3898</v>
      </c>
      <c r="D3661" t="str">
        <f t="shared" si="58"/>
        <v>KI7500320353,</v>
      </c>
    </row>
    <row r="3662" spans="3:4">
      <c r="C3662" t="s">
        <v>3850</v>
      </c>
      <c r="D3662" t="str">
        <f t="shared" si="58"/>
        <v>FS7512195936,</v>
      </c>
    </row>
    <row r="3663" spans="3:4">
      <c r="C3663" t="s">
        <v>3899</v>
      </c>
      <c r="D3663" t="str">
        <f t="shared" si="58"/>
        <v>KI7500321057,</v>
      </c>
    </row>
    <row r="3664" spans="3:4">
      <c r="C3664" t="s">
        <v>3942</v>
      </c>
      <c r="D3664" t="str">
        <f t="shared" si="58"/>
        <v>KI7508919493,</v>
      </c>
    </row>
    <row r="3665" spans="3:4">
      <c r="C3665" t="s">
        <v>2250</v>
      </c>
      <c r="D3665" t="str">
        <f t="shared" si="58"/>
        <v>KI7508923495,</v>
      </c>
    </row>
    <row r="3666" spans="3:4">
      <c r="C3666" t="s">
        <v>3943</v>
      </c>
      <c r="D3666" t="str">
        <f t="shared" si="58"/>
        <v>KI7508923991,</v>
      </c>
    </row>
    <row r="3667" spans="3:4">
      <c r="C3667" t="s">
        <v>3944</v>
      </c>
      <c r="D3667" t="str">
        <f t="shared" si="58"/>
        <v>KI7508925095,</v>
      </c>
    </row>
    <row r="3668" spans="3:4">
      <c r="C3668" t="s">
        <v>4344</v>
      </c>
      <c r="D3668" t="str">
        <f t="shared" si="58"/>
        <v>KI7508928305,</v>
      </c>
    </row>
    <row r="3669" spans="3:4">
      <c r="C3669" t="s">
        <v>3950</v>
      </c>
      <c r="D3669" t="str">
        <f t="shared" si="58"/>
        <v>KI7508936706,</v>
      </c>
    </row>
    <row r="3670" spans="3:4">
      <c r="C3670" t="s">
        <v>3951</v>
      </c>
      <c r="D3670" t="str">
        <f t="shared" si="58"/>
        <v>KI7508942595,</v>
      </c>
    </row>
    <row r="3671" spans="3:4">
      <c r="C3671" t="s">
        <v>3952</v>
      </c>
      <c r="D3671" t="str">
        <f t="shared" si="58"/>
        <v>KI7508942723,</v>
      </c>
    </row>
    <row r="3672" spans="3:4">
      <c r="C3672" t="s">
        <v>4205</v>
      </c>
      <c r="D3672" t="str">
        <f t="shared" si="58"/>
        <v>KI7508944841,</v>
      </c>
    </row>
    <row r="3673" spans="3:4">
      <c r="C3673" t="s">
        <v>3957</v>
      </c>
      <c r="D3673" t="str">
        <f t="shared" si="58"/>
        <v>KI7508947421,</v>
      </c>
    </row>
    <row r="3674" spans="3:4">
      <c r="C3674" t="s">
        <v>3958</v>
      </c>
      <c r="D3674" t="str">
        <f t="shared" si="58"/>
        <v>KI7508948827,</v>
      </c>
    </row>
    <row r="3675" spans="3:4">
      <c r="C3675" t="s">
        <v>3962</v>
      </c>
      <c r="D3675" t="str">
        <f t="shared" si="58"/>
        <v>KI7508960030,</v>
      </c>
    </row>
    <row r="3676" spans="3:4">
      <c r="C3676" t="s">
        <v>4345</v>
      </c>
      <c r="D3676" t="str">
        <f t="shared" si="58"/>
        <v>KI7508962657,</v>
      </c>
    </row>
    <row r="3677" spans="3:4">
      <c r="C3677" t="s">
        <v>3825</v>
      </c>
      <c r="D3677" t="str">
        <f t="shared" si="58"/>
        <v>FS7512159221,</v>
      </c>
    </row>
    <row r="3678" spans="3:4">
      <c r="C3678" t="s">
        <v>4165</v>
      </c>
      <c r="D3678" t="str">
        <f t="shared" si="58"/>
        <v>KI7508978400,</v>
      </c>
    </row>
    <row r="3679" spans="3:4">
      <c r="C3679" t="s">
        <v>4346</v>
      </c>
      <c r="D3679" t="str">
        <f t="shared" ref="D3679:D3742" si="59">""&amp;C3679&amp;","</f>
        <v>KI7508980305,</v>
      </c>
    </row>
    <row r="3680" spans="3:4">
      <c r="C3680" t="s">
        <v>4224</v>
      </c>
      <c r="D3680" t="str">
        <f t="shared" si="59"/>
        <v>KI7508982646,</v>
      </c>
    </row>
    <row r="3681" spans="3:4">
      <c r="C3681" t="s">
        <v>4161</v>
      </c>
      <c r="D3681" t="str">
        <f t="shared" si="59"/>
        <v>KI7508984752,</v>
      </c>
    </row>
    <row r="3682" spans="3:4">
      <c r="C3682" t="s">
        <v>4219</v>
      </c>
      <c r="D3682" t="str">
        <f t="shared" si="59"/>
        <v>KI7508985616,</v>
      </c>
    </row>
    <row r="3683" spans="3:4">
      <c r="C3683" t="s">
        <v>4347</v>
      </c>
      <c r="D3683" t="str">
        <f t="shared" si="59"/>
        <v>KI7500329179,</v>
      </c>
    </row>
    <row r="3684" spans="3:4">
      <c r="C3684" t="s">
        <v>4348</v>
      </c>
      <c r="D3684" t="str">
        <f t="shared" si="59"/>
        <v>KI7508989205,</v>
      </c>
    </row>
    <row r="3685" spans="3:4">
      <c r="C3685" t="s">
        <v>4349</v>
      </c>
      <c r="D3685" t="str">
        <f t="shared" si="59"/>
        <v>KI7500329533,</v>
      </c>
    </row>
    <row r="3686" spans="3:4">
      <c r="C3686" t="s">
        <v>4198</v>
      </c>
      <c r="D3686" t="str">
        <f t="shared" si="59"/>
        <v>KI7508999383,</v>
      </c>
    </row>
    <row r="3687" spans="3:4">
      <c r="C3687" t="s">
        <v>4350</v>
      </c>
      <c r="D3687" t="str">
        <f t="shared" si="59"/>
        <v>FS7512201702,</v>
      </c>
    </row>
    <row r="3688" spans="3:4">
      <c r="C3688" t="s">
        <v>4351</v>
      </c>
      <c r="D3688" t="str">
        <f t="shared" si="59"/>
        <v>KI7509006032,</v>
      </c>
    </row>
    <row r="3689" spans="3:4">
      <c r="C3689" t="s">
        <v>4352</v>
      </c>
      <c r="D3689" t="str">
        <f t="shared" si="59"/>
        <v>KI7509006998,</v>
      </c>
    </row>
    <row r="3690" spans="3:4">
      <c r="C3690" t="s">
        <v>3842</v>
      </c>
      <c r="D3690" t="str">
        <f t="shared" si="59"/>
        <v>FS7512190563,</v>
      </c>
    </row>
    <row r="3691" spans="3:4">
      <c r="C3691" t="s">
        <v>4353</v>
      </c>
      <c r="D3691" t="str">
        <f t="shared" si="59"/>
        <v>KI7509011652,</v>
      </c>
    </row>
    <row r="3692" spans="3:4">
      <c r="C3692" t="s">
        <v>4164</v>
      </c>
      <c r="D3692" t="str">
        <f t="shared" si="59"/>
        <v>KI7509012218,</v>
      </c>
    </row>
    <row r="3693" spans="3:4">
      <c r="C3693" t="s">
        <v>4163</v>
      </c>
      <c r="D3693" t="str">
        <f t="shared" si="59"/>
        <v>KI7500331885,</v>
      </c>
    </row>
    <row r="3694" spans="3:4">
      <c r="C3694" t="s">
        <v>4354</v>
      </c>
      <c r="D3694" t="str">
        <f t="shared" si="59"/>
        <v>KI7509013110,</v>
      </c>
    </row>
    <row r="3695" spans="3:4">
      <c r="C3695" t="s">
        <v>4355</v>
      </c>
      <c r="D3695" t="str">
        <f t="shared" si="59"/>
        <v>KI7509013373,</v>
      </c>
    </row>
    <row r="3696" spans="3:4">
      <c r="C3696" t="s">
        <v>3925</v>
      </c>
      <c r="D3696" t="str">
        <f t="shared" si="59"/>
        <v>KI7508837172,</v>
      </c>
    </row>
    <row r="3697" spans="3:4">
      <c r="C3697" t="s">
        <v>3926</v>
      </c>
      <c r="D3697" t="str">
        <f t="shared" si="59"/>
        <v>KI7508839816,</v>
      </c>
    </row>
    <row r="3698" spans="3:4">
      <c r="C3698" t="s">
        <v>4356</v>
      </c>
      <c r="D3698" t="str">
        <f t="shared" si="59"/>
        <v>KI7508904536,</v>
      </c>
    </row>
    <row r="3699" spans="3:4">
      <c r="C3699" t="s">
        <v>3953</v>
      </c>
      <c r="D3699" t="str">
        <f t="shared" si="59"/>
        <v>KI7508943863,</v>
      </c>
    </row>
    <row r="3700" spans="3:4">
      <c r="C3700" t="s">
        <v>3901</v>
      </c>
      <c r="D3700" t="str">
        <f t="shared" si="59"/>
        <v>KI7500325335,</v>
      </c>
    </row>
    <row r="3701" spans="3:4">
      <c r="C3701" t="s">
        <v>3961</v>
      </c>
      <c r="D3701" t="str">
        <f t="shared" si="59"/>
        <v>KI7508958456,</v>
      </c>
    </row>
    <row r="3702" spans="3:4">
      <c r="C3702" t="s">
        <v>3823</v>
      </c>
      <c r="D3702" t="str">
        <f t="shared" si="59"/>
        <v>FS7512153689,</v>
      </c>
    </row>
    <row r="3703" spans="3:4">
      <c r="C3703" t="s">
        <v>4159</v>
      </c>
      <c r="D3703" t="str">
        <f t="shared" si="59"/>
        <v>KI7508986817,</v>
      </c>
    </row>
    <row r="3704" spans="3:4">
      <c r="C3704" t="s">
        <v>4220</v>
      </c>
      <c r="D3704" t="str">
        <f t="shared" si="59"/>
        <v>KI7508990449,</v>
      </c>
    </row>
    <row r="3705" spans="3:4">
      <c r="C3705" t="s">
        <v>4357</v>
      </c>
      <c r="D3705" t="str">
        <f t="shared" si="59"/>
        <v>KI7508990485,</v>
      </c>
    </row>
    <row r="3706" spans="3:4">
      <c r="C3706" t="s">
        <v>3818</v>
      </c>
      <c r="D3706" t="str">
        <f t="shared" si="59"/>
        <v>FS7512117706,</v>
      </c>
    </row>
    <row r="3707" spans="3:4">
      <c r="C3707" t="s">
        <v>3816</v>
      </c>
      <c r="D3707" t="str">
        <f t="shared" si="59"/>
        <v>FS7512111669,</v>
      </c>
    </row>
    <row r="3708" spans="3:4">
      <c r="C3708" t="s">
        <v>4358</v>
      </c>
      <c r="D3708" t="str">
        <f t="shared" si="59"/>
        <v>KI7509001837,</v>
      </c>
    </row>
    <row r="3709" spans="3:4">
      <c r="C3709" t="s">
        <v>3936</v>
      </c>
      <c r="D3709" t="str">
        <f t="shared" si="59"/>
        <v>KI7508882223,</v>
      </c>
    </row>
    <row r="3710" spans="3:4">
      <c r="C3710" t="s">
        <v>3900</v>
      </c>
      <c r="D3710" t="str">
        <f t="shared" si="59"/>
        <v>KI7500323928,</v>
      </c>
    </row>
    <row r="3711" spans="3:4">
      <c r="C3711" t="s">
        <v>3954</v>
      </c>
      <c r="D3711" t="str">
        <f t="shared" si="59"/>
        <v>KI7508945504,</v>
      </c>
    </row>
    <row r="3712" spans="3:4">
      <c r="C3712" t="s">
        <v>4199</v>
      </c>
      <c r="D3712" t="str">
        <f t="shared" si="59"/>
        <v>KI7508989095,</v>
      </c>
    </row>
    <row r="3713" spans="3:4">
      <c r="C3713" t="s">
        <v>4206</v>
      </c>
      <c r="D3713" t="str">
        <f t="shared" si="59"/>
        <v>FS7512225546,</v>
      </c>
    </row>
    <row r="3714" spans="3:4">
      <c r="C3714" t="s">
        <v>4359</v>
      </c>
      <c r="D3714" t="str">
        <f t="shared" si="59"/>
        <v>KI7508993370,</v>
      </c>
    </row>
    <row r="3715" spans="3:4">
      <c r="C3715" t="s">
        <v>4360</v>
      </c>
      <c r="D3715" t="str">
        <f t="shared" si="59"/>
        <v>FS7512223278,</v>
      </c>
    </row>
    <row r="3716" spans="3:4">
      <c r="C3716" t="s">
        <v>3912</v>
      </c>
      <c r="D3716" t="str">
        <f t="shared" si="59"/>
        <v>KI7508754783,</v>
      </c>
    </row>
    <row r="3717" spans="3:4">
      <c r="C3717" t="s">
        <v>3919</v>
      </c>
      <c r="D3717" t="str">
        <f t="shared" si="59"/>
        <v>KI7508813439,</v>
      </c>
    </row>
    <row r="3718" spans="3:4">
      <c r="C3718" t="s">
        <v>4361</v>
      </c>
      <c r="D3718" t="str">
        <f t="shared" si="59"/>
        <v>FS7512221347,</v>
      </c>
    </row>
    <row r="3719" spans="3:4">
      <c r="C3719" t="s">
        <v>3964</v>
      </c>
      <c r="D3719" t="str">
        <f t="shared" si="59"/>
        <v>KI7508966549,</v>
      </c>
    </row>
    <row r="3720" spans="3:4">
      <c r="C3720" t="s">
        <v>4362</v>
      </c>
      <c r="D3720" t="str">
        <f t="shared" si="59"/>
        <v>KI7508971185,</v>
      </c>
    </row>
    <row r="3721" spans="3:4">
      <c r="C3721" t="s">
        <v>4363</v>
      </c>
      <c r="D3721" t="str">
        <f t="shared" si="59"/>
        <v>FS7512207223,</v>
      </c>
    </row>
    <row r="3722" spans="3:4">
      <c r="C3722" t="s">
        <v>4364</v>
      </c>
      <c r="D3722" t="str">
        <f t="shared" si="59"/>
        <v>KI7509013357,</v>
      </c>
    </row>
    <row r="3723" spans="3:4">
      <c r="C3723" t="s">
        <v>3839</v>
      </c>
      <c r="D3723" t="str">
        <f t="shared" si="59"/>
        <v>FS7512188248,</v>
      </c>
    </row>
    <row r="3724" spans="3:4">
      <c r="C3724" t="s">
        <v>3827</v>
      </c>
      <c r="D3724" t="str">
        <f t="shared" si="59"/>
        <v>FS7512162930,</v>
      </c>
    </row>
    <row r="3725" spans="3:4">
      <c r="C3725" t="s">
        <v>3826</v>
      </c>
      <c r="D3725" t="str">
        <f t="shared" si="59"/>
        <v>FS7512161923,</v>
      </c>
    </row>
    <row r="3726" spans="3:4">
      <c r="C3726" t="s">
        <v>4365</v>
      </c>
      <c r="D3726" t="str">
        <f t="shared" si="59"/>
        <v>FS7512217698,</v>
      </c>
    </row>
    <row r="3727" spans="3:4">
      <c r="C3727" t="s">
        <v>3836</v>
      </c>
      <c r="D3727" t="str">
        <f t="shared" si="59"/>
        <v>FS7512182317,</v>
      </c>
    </row>
    <row r="3728" spans="3:4">
      <c r="C3728" t="s">
        <v>3834</v>
      </c>
      <c r="D3728" t="str">
        <f t="shared" si="59"/>
        <v>FS7512180263,</v>
      </c>
    </row>
    <row r="3729" spans="3:4">
      <c r="C3729" t="s">
        <v>3833</v>
      </c>
      <c r="D3729" t="str">
        <f t="shared" si="59"/>
        <v>FS7512176623,</v>
      </c>
    </row>
    <row r="3730" spans="3:4">
      <c r="C3730" t="s">
        <v>3830</v>
      </c>
      <c r="D3730" t="str">
        <f t="shared" si="59"/>
        <v>FS7512167233,</v>
      </c>
    </row>
    <row r="3731" spans="3:4">
      <c r="C3731" t="s">
        <v>3819</v>
      </c>
      <c r="D3731" t="str">
        <f t="shared" si="59"/>
        <v>FS7512131351,</v>
      </c>
    </row>
    <row r="3732" spans="3:4">
      <c r="C3732" t="s">
        <v>4211</v>
      </c>
      <c r="D3732" t="str">
        <f t="shared" si="59"/>
        <v>FS7512395982,</v>
      </c>
    </row>
    <row r="3733" spans="3:4">
      <c r="C3733" t="s">
        <v>4366</v>
      </c>
      <c r="D3733" t="str">
        <f t="shared" si="59"/>
        <v>FS7512395836,</v>
      </c>
    </row>
    <row r="3734" spans="3:4">
      <c r="C3734" t="s">
        <v>4367</v>
      </c>
      <c r="D3734" t="str">
        <f t="shared" si="59"/>
        <v>FS7512395384,</v>
      </c>
    </row>
    <row r="3735" spans="3:4">
      <c r="C3735" t="s">
        <v>4160</v>
      </c>
      <c r="D3735" t="str">
        <f t="shared" si="59"/>
        <v>FS7512394888,</v>
      </c>
    </row>
    <row r="3736" spans="3:4">
      <c r="C3736" t="s">
        <v>4368</v>
      </c>
      <c r="D3736" t="str">
        <f t="shared" si="59"/>
        <v>FS7512394889,</v>
      </c>
    </row>
    <row r="3737" spans="3:4">
      <c r="C3737" t="s">
        <v>4369</v>
      </c>
      <c r="D3737" t="str">
        <f t="shared" si="59"/>
        <v>FS7512200315,</v>
      </c>
    </row>
    <row r="3738" spans="3:4">
      <c r="C3738" t="s">
        <v>3861</v>
      </c>
      <c r="D3738" t="str">
        <f t="shared" si="59"/>
        <v>FS7512390121,</v>
      </c>
    </row>
    <row r="3739" spans="3:4">
      <c r="C3739" t="s">
        <v>3860</v>
      </c>
      <c r="D3739" t="str">
        <f t="shared" si="59"/>
        <v>FS7512389369,</v>
      </c>
    </row>
    <row r="3740" spans="3:4">
      <c r="C3740" t="s">
        <v>3859</v>
      </c>
      <c r="D3740" t="str">
        <f t="shared" si="59"/>
        <v>FS7512389176,</v>
      </c>
    </row>
    <row r="3741" spans="3:4">
      <c r="C3741" t="s">
        <v>3856</v>
      </c>
      <c r="D3741" t="str">
        <f t="shared" si="59"/>
        <v>FS7512388735,</v>
      </c>
    </row>
    <row r="3742" spans="3:4">
      <c r="C3742" t="s">
        <v>4370</v>
      </c>
      <c r="D3742" t="str">
        <f t="shared" si="59"/>
        <v>KS7514343802,</v>
      </c>
    </row>
    <row r="3743" spans="3:4">
      <c r="C3743" t="s">
        <v>4217</v>
      </c>
      <c r="D3743" t="str">
        <f t="shared" ref="D3743:D3806" si="60">""&amp;C3743&amp;","</f>
        <v>KS7514344167,</v>
      </c>
    </row>
    <row r="3744" spans="3:4">
      <c r="C3744" t="s">
        <v>3835</v>
      </c>
      <c r="D3744" t="str">
        <f t="shared" si="60"/>
        <v>FS7512180469,</v>
      </c>
    </row>
    <row r="3745" spans="3:4">
      <c r="C3745" t="s">
        <v>3977</v>
      </c>
      <c r="D3745" t="str">
        <f t="shared" si="60"/>
        <v>KL7513698708,</v>
      </c>
    </row>
    <row r="3746" spans="3:4">
      <c r="C3746" t="s">
        <v>3978</v>
      </c>
      <c r="D3746" t="str">
        <f t="shared" si="60"/>
        <v>KL7513698959,</v>
      </c>
    </row>
    <row r="3747" spans="3:4">
      <c r="C3747" t="s">
        <v>4371</v>
      </c>
      <c r="D3747" t="str">
        <f t="shared" si="60"/>
        <v>FS7512153156,</v>
      </c>
    </row>
    <row r="3748" spans="3:4">
      <c r="C3748" t="s">
        <v>3854</v>
      </c>
      <c r="D3748" t="str">
        <f t="shared" si="60"/>
        <v>FS7512384056,</v>
      </c>
    </row>
    <row r="3749" spans="3:4">
      <c r="C3749" t="s">
        <v>3979</v>
      </c>
      <c r="D3749" t="str">
        <f t="shared" si="60"/>
        <v>KP7514170668,</v>
      </c>
    </row>
    <row r="3750" spans="3:4">
      <c r="C3750" t="s">
        <v>3894</v>
      </c>
      <c r="D3750" t="str">
        <f t="shared" si="60"/>
        <v>KA7513711863,</v>
      </c>
    </row>
    <row r="3751" spans="3:4">
      <c r="C3751" t="s">
        <v>3895</v>
      </c>
      <c r="D3751" t="str">
        <f t="shared" si="60"/>
        <v>KA7513712579,</v>
      </c>
    </row>
    <row r="3752" spans="3:4">
      <c r="C3752" t="s">
        <v>4193</v>
      </c>
      <c r="D3752" t="str">
        <f t="shared" si="60"/>
        <v>KA7513713285,</v>
      </c>
    </row>
    <row r="3753" spans="3:4">
      <c r="C3753" t="s">
        <v>3896</v>
      </c>
      <c r="D3753" t="str">
        <f t="shared" si="60"/>
        <v>KA7513715480,</v>
      </c>
    </row>
    <row r="3754" spans="3:4">
      <c r="C3754" t="s">
        <v>3814</v>
      </c>
      <c r="D3754" t="str">
        <f t="shared" si="60"/>
        <v>FS7512095528,</v>
      </c>
    </row>
    <row r="3755" spans="3:4">
      <c r="C3755" t="s">
        <v>3853</v>
      </c>
      <c r="D3755" t="str">
        <f t="shared" si="60"/>
        <v>FS7512375143,</v>
      </c>
    </row>
    <row r="3756" spans="3:4">
      <c r="C3756" t="s">
        <v>3862</v>
      </c>
      <c r="D3756" t="str">
        <f t="shared" si="60"/>
        <v>FS9012017488,</v>
      </c>
    </row>
    <row r="3757" spans="3:4">
      <c r="C3757" t="s">
        <v>3981</v>
      </c>
      <c r="D3757" t="str">
        <f t="shared" si="60"/>
        <v>LE0060899305,</v>
      </c>
    </row>
    <row r="3758" spans="3:4">
      <c r="C3758" t="s">
        <v>4157</v>
      </c>
      <c r="D3758" t="str">
        <f t="shared" si="60"/>
        <v>LE0060939899,</v>
      </c>
    </row>
    <row r="3759" spans="3:4">
      <c r="C3759" t="s">
        <v>4372</v>
      </c>
      <c r="D3759" t="str">
        <f t="shared" si="60"/>
        <v>LE0060940066,</v>
      </c>
    </row>
    <row r="3760" spans="3:4">
      <c r="C3760" t="s">
        <v>4156</v>
      </c>
      <c r="D3760" t="str">
        <f t="shared" si="60"/>
        <v>LE0060916785,</v>
      </c>
    </row>
    <row r="3761" spans="3:4">
      <c r="C3761" t="s">
        <v>4373</v>
      </c>
      <c r="D3761" t="str">
        <f t="shared" si="60"/>
        <v>LE0060940126,</v>
      </c>
    </row>
    <row r="3762" spans="3:4">
      <c r="C3762" t="s">
        <v>4374</v>
      </c>
      <c r="D3762" t="str">
        <f t="shared" si="60"/>
        <v>LE0060940237,</v>
      </c>
    </row>
    <row r="3763" spans="3:4">
      <c r="C3763" t="s">
        <v>4025</v>
      </c>
      <c r="D3763" t="str">
        <f t="shared" si="60"/>
        <v>LE9012022110,</v>
      </c>
    </row>
    <row r="3764" spans="3:4">
      <c r="C3764" t="s">
        <v>4026</v>
      </c>
      <c r="D3764" t="str">
        <f t="shared" si="60"/>
        <v>LE9012041839,</v>
      </c>
    </row>
    <row r="3765" spans="3:4">
      <c r="C3765" t="s">
        <v>4375</v>
      </c>
      <c r="D3765" t="str">
        <f t="shared" si="60"/>
        <v>LE9012080086,</v>
      </c>
    </row>
    <row r="3766" spans="3:4">
      <c r="C3766" t="s">
        <v>4376</v>
      </c>
      <c r="D3766" t="str">
        <f t="shared" si="60"/>
        <v>LE9012080097,</v>
      </c>
    </row>
    <row r="3767" spans="3:4">
      <c r="C3767" t="s">
        <v>4377</v>
      </c>
      <c r="D3767" t="str">
        <f t="shared" si="60"/>
        <v>LE9012080142,</v>
      </c>
    </row>
    <row r="3768" spans="3:4">
      <c r="C3768" t="s">
        <v>4378</v>
      </c>
      <c r="D3768" t="str">
        <f t="shared" si="60"/>
        <v>LE9012080562,</v>
      </c>
    </row>
    <row r="3769" spans="3:4">
      <c r="C3769" t="s">
        <v>4162</v>
      </c>
      <c r="D3769" t="str">
        <f t="shared" si="60"/>
        <v>LE9012084988,</v>
      </c>
    </row>
    <row r="3770" spans="3:4">
      <c r="C3770" t="s">
        <v>4379</v>
      </c>
      <c r="D3770" t="str">
        <f t="shared" si="60"/>
        <v>LE9011940920,</v>
      </c>
    </row>
    <row r="3771" spans="3:4">
      <c r="C3771" t="s">
        <v>4380</v>
      </c>
      <c r="D3771" t="str">
        <f t="shared" si="60"/>
        <v>LE9012093138,</v>
      </c>
    </row>
    <row r="3772" spans="3:4">
      <c r="C3772" t="s">
        <v>4381</v>
      </c>
      <c r="D3772" t="str">
        <f t="shared" si="60"/>
        <v>LE9012093986,</v>
      </c>
    </row>
    <row r="3773" spans="3:4">
      <c r="C3773" t="s">
        <v>3990</v>
      </c>
      <c r="D3773" t="str">
        <f t="shared" si="60"/>
        <v>LE7508508031,</v>
      </c>
    </row>
    <row r="3774" spans="3:4">
      <c r="C3774" t="s">
        <v>4020</v>
      </c>
      <c r="D3774" t="str">
        <f t="shared" si="60"/>
        <v>LE7510160663,</v>
      </c>
    </row>
    <row r="3775" spans="3:4">
      <c r="C3775" t="s">
        <v>4022</v>
      </c>
      <c r="D3775" t="str">
        <f t="shared" si="60"/>
        <v>LE7510165512,</v>
      </c>
    </row>
    <row r="3776" spans="3:4">
      <c r="C3776" t="s">
        <v>4181</v>
      </c>
      <c r="D3776" t="str">
        <f t="shared" si="60"/>
        <v>LE7510173491,</v>
      </c>
    </row>
    <row r="3777" spans="3:4">
      <c r="C3777" t="s">
        <v>4221</v>
      </c>
      <c r="D3777" t="str">
        <f t="shared" si="60"/>
        <v>LE7510183994,</v>
      </c>
    </row>
    <row r="3778" spans="3:4">
      <c r="C3778" t="s">
        <v>4382</v>
      </c>
      <c r="D3778" t="str">
        <f t="shared" si="60"/>
        <v>LE7510185172,</v>
      </c>
    </row>
    <row r="3779" spans="3:4">
      <c r="C3779" t="s">
        <v>4184</v>
      </c>
      <c r="D3779" t="str">
        <f t="shared" si="60"/>
        <v>LE7510191969,</v>
      </c>
    </row>
    <row r="3780" spans="3:4">
      <c r="C3780" t="s">
        <v>4183</v>
      </c>
      <c r="D3780" t="str">
        <f t="shared" si="60"/>
        <v>LE7510204868,</v>
      </c>
    </row>
    <row r="3781" spans="3:4">
      <c r="C3781" t="s">
        <v>3988</v>
      </c>
      <c r="D3781" t="str">
        <f t="shared" si="60"/>
        <v>LE7508498979,</v>
      </c>
    </row>
    <row r="3782" spans="3:4">
      <c r="C3782" t="s">
        <v>4002</v>
      </c>
      <c r="D3782" t="str">
        <f t="shared" si="60"/>
        <v>LE7510108959,</v>
      </c>
    </row>
    <row r="3783" spans="3:4">
      <c r="C3783" t="s">
        <v>4008</v>
      </c>
      <c r="D3783" t="str">
        <f t="shared" si="60"/>
        <v>LE7510130882,</v>
      </c>
    </row>
    <row r="3784" spans="3:4">
      <c r="C3784" t="s">
        <v>3982</v>
      </c>
      <c r="D3784" t="str">
        <f t="shared" si="60"/>
        <v>LE7501240659,</v>
      </c>
    </row>
    <row r="3785" spans="3:4">
      <c r="C3785" t="s">
        <v>4014</v>
      </c>
      <c r="D3785" t="str">
        <f t="shared" si="60"/>
        <v>LE7510148983,</v>
      </c>
    </row>
    <row r="3786" spans="3:4">
      <c r="C3786" t="s">
        <v>4015</v>
      </c>
      <c r="D3786" t="str">
        <f t="shared" si="60"/>
        <v>LE7510152911,</v>
      </c>
    </row>
    <row r="3787" spans="3:4">
      <c r="C3787" t="s">
        <v>4216</v>
      </c>
      <c r="D3787" t="str">
        <f t="shared" si="60"/>
        <v>LE7510153197,</v>
      </c>
    </row>
    <row r="3788" spans="3:4">
      <c r="C3788" t="s">
        <v>4018</v>
      </c>
      <c r="D3788" t="str">
        <f t="shared" si="60"/>
        <v>LE7510157131,</v>
      </c>
    </row>
    <row r="3789" spans="3:4">
      <c r="C3789" t="s">
        <v>4196</v>
      </c>
      <c r="D3789" t="str">
        <f t="shared" si="60"/>
        <v>LE7510158471,</v>
      </c>
    </row>
    <row r="3790" spans="3:4">
      <c r="C3790" t="s">
        <v>4383</v>
      </c>
      <c r="D3790" t="str">
        <f t="shared" si="60"/>
        <v>LE7510158772,</v>
      </c>
    </row>
    <row r="3791" spans="3:4">
      <c r="C3791" t="s">
        <v>4021</v>
      </c>
      <c r="D3791" t="str">
        <f t="shared" si="60"/>
        <v>LE7510164232,</v>
      </c>
    </row>
    <row r="3792" spans="3:4">
      <c r="C3792" t="s">
        <v>4170</v>
      </c>
      <c r="D3792" t="str">
        <f t="shared" si="60"/>
        <v>LE7510164773,</v>
      </c>
    </row>
    <row r="3793" spans="3:4">
      <c r="C3793" t="s">
        <v>2251</v>
      </c>
      <c r="D3793" t="str">
        <f t="shared" si="60"/>
        <v>LE7510166870,</v>
      </c>
    </row>
    <row r="3794" spans="3:4">
      <c r="C3794" t="s">
        <v>4023</v>
      </c>
      <c r="D3794" t="str">
        <f t="shared" si="60"/>
        <v>LE7510166933,</v>
      </c>
    </row>
    <row r="3795" spans="3:4">
      <c r="C3795" t="s">
        <v>2244</v>
      </c>
      <c r="D3795" t="str">
        <f t="shared" si="60"/>
        <v>LE7510168420,</v>
      </c>
    </row>
    <row r="3796" spans="3:4">
      <c r="C3796" t="s">
        <v>4191</v>
      </c>
      <c r="D3796" t="str">
        <f t="shared" si="60"/>
        <v>LE7510173360,</v>
      </c>
    </row>
    <row r="3797" spans="3:4">
      <c r="C3797" t="s">
        <v>4202</v>
      </c>
      <c r="D3797" t="str">
        <f t="shared" si="60"/>
        <v>LE7510175533,</v>
      </c>
    </row>
    <row r="3798" spans="3:4">
      <c r="C3798" t="s">
        <v>4204</v>
      </c>
      <c r="D3798" t="str">
        <f t="shared" si="60"/>
        <v>LE7510180926,</v>
      </c>
    </row>
    <row r="3799" spans="3:4">
      <c r="C3799" t="s">
        <v>4384</v>
      </c>
      <c r="D3799" t="str">
        <f t="shared" si="60"/>
        <v>LE7510181243,</v>
      </c>
    </row>
    <row r="3800" spans="3:4">
      <c r="C3800" t="s">
        <v>4208</v>
      </c>
      <c r="D3800" t="str">
        <f t="shared" si="60"/>
        <v>LE7510183753,</v>
      </c>
    </row>
    <row r="3801" spans="3:4">
      <c r="C3801" t="s">
        <v>4385</v>
      </c>
      <c r="D3801" t="str">
        <f t="shared" si="60"/>
        <v>LE7510185046,</v>
      </c>
    </row>
    <row r="3802" spans="3:4">
      <c r="C3802" t="s">
        <v>4386</v>
      </c>
      <c r="D3802" t="str">
        <f t="shared" si="60"/>
        <v>LE7510187781,</v>
      </c>
    </row>
    <row r="3803" spans="3:4">
      <c r="C3803" t="s">
        <v>4387</v>
      </c>
      <c r="D3803" t="str">
        <f t="shared" si="60"/>
        <v>LE7510189020,</v>
      </c>
    </row>
    <row r="3804" spans="3:4">
      <c r="C3804" t="s">
        <v>4388</v>
      </c>
      <c r="D3804" t="str">
        <f t="shared" si="60"/>
        <v>LE7510193357,</v>
      </c>
    </row>
    <row r="3805" spans="3:4">
      <c r="C3805" t="s">
        <v>4389</v>
      </c>
      <c r="D3805" t="str">
        <f t="shared" si="60"/>
        <v>LE7510194079,</v>
      </c>
    </row>
    <row r="3806" spans="3:4">
      <c r="C3806" t="s">
        <v>4390</v>
      </c>
      <c r="D3806" t="str">
        <f t="shared" si="60"/>
        <v>LE7510198524,</v>
      </c>
    </row>
    <row r="3807" spans="3:4">
      <c r="C3807" t="s">
        <v>4001</v>
      </c>
      <c r="D3807" t="str">
        <f t="shared" ref="D3807:D3870" si="61">""&amp;C3807&amp;","</f>
        <v>LE7510108215,</v>
      </c>
    </row>
    <row r="3808" spans="3:4">
      <c r="C3808" t="s">
        <v>4003</v>
      </c>
      <c r="D3808" t="str">
        <f t="shared" si="61"/>
        <v>LE7510110197,</v>
      </c>
    </row>
    <row r="3809" spans="3:4">
      <c r="C3809" t="s">
        <v>4005</v>
      </c>
      <c r="D3809" t="str">
        <f t="shared" si="61"/>
        <v>LE7510118811,</v>
      </c>
    </row>
    <row r="3810" spans="3:4">
      <c r="C3810" t="s">
        <v>4391</v>
      </c>
      <c r="D3810" t="str">
        <f t="shared" si="61"/>
        <v>LE7510187916,</v>
      </c>
    </row>
    <row r="3811" spans="3:4">
      <c r="C3811" t="s">
        <v>4392</v>
      </c>
      <c r="D3811" t="str">
        <f t="shared" si="61"/>
        <v>LE7510190756,</v>
      </c>
    </row>
    <row r="3812" spans="3:4">
      <c r="C3812" t="s">
        <v>4182</v>
      </c>
      <c r="D3812" t="str">
        <f t="shared" si="61"/>
        <v>LE7510194061,</v>
      </c>
    </row>
    <row r="3813" spans="3:4">
      <c r="C3813" t="s">
        <v>4393</v>
      </c>
      <c r="D3813" t="str">
        <f t="shared" si="61"/>
        <v>LE7510194086,</v>
      </c>
    </row>
    <row r="3814" spans="3:4">
      <c r="C3814" t="s">
        <v>4186</v>
      </c>
      <c r="D3814" t="str">
        <f t="shared" si="61"/>
        <v>LE7510195006,</v>
      </c>
    </row>
    <row r="3815" spans="3:4">
      <c r="C3815" t="s">
        <v>4394</v>
      </c>
      <c r="D3815" t="str">
        <f t="shared" si="61"/>
        <v>LE7510203747,</v>
      </c>
    </row>
    <row r="3816" spans="3:4">
      <c r="C3816" t="s">
        <v>3999</v>
      </c>
      <c r="D3816" t="str">
        <f t="shared" si="61"/>
        <v>LE7510107707,</v>
      </c>
    </row>
    <row r="3817" spans="3:4">
      <c r="C3817" t="s">
        <v>4188</v>
      </c>
      <c r="D3817" t="str">
        <f t="shared" si="61"/>
        <v>LE7510184088,</v>
      </c>
    </row>
    <row r="3818" spans="3:4">
      <c r="C3818" t="s">
        <v>3998</v>
      </c>
      <c r="D3818" t="str">
        <f t="shared" si="61"/>
        <v>LE7510104161,</v>
      </c>
    </row>
    <row r="3819" spans="3:4">
      <c r="C3819" t="s">
        <v>4395</v>
      </c>
      <c r="D3819" t="str">
        <f t="shared" si="61"/>
        <v>LE7510178624,</v>
      </c>
    </row>
    <row r="3820" spans="3:4">
      <c r="C3820" t="s">
        <v>3991</v>
      </c>
      <c r="D3820" t="str">
        <f t="shared" si="61"/>
        <v>LE7508511356,</v>
      </c>
    </row>
    <row r="3821" spans="3:4">
      <c r="C3821" t="s">
        <v>3993</v>
      </c>
      <c r="D3821" t="str">
        <f t="shared" si="61"/>
        <v>LE7508524131,</v>
      </c>
    </row>
    <row r="3822" spans="3:4">
      <c r="C3822" t="s">
        <v>4000</v>
      </c>
      <c r="D3822" t="str">
        <f t="shared" si="61"/>
        <v>LE7510107842,</v>
      </c>
    </row>
    <row r="3823" spans="3:4">
      <c r="C3823" t="s">
        <v>4004</v>
      </c>
      <c r="D3823" t="str">
        <f t="shared" si="61"/>
        <v>LE7510116132,</v>
      </c>
    </row>
    <row r="3824" spans="3:4">
      <c r="C3824" t="s">
        <v>4006</v>
      </c>
      <c r="D3824" t="str">
        <f t="shared" si="61"/>
        <v>LE7510125879,</v>
      </c>
    </row>
    <row r="3825" spans="3:4">
      <c r="C3825" t="s">
        <v>4201</v>
      </c>
      <c r="D3825" t="str">
        <f t="shared" si="61"/>
        <v>LE7510144985,</v>
      </c>
    </row>
    <row r="3826" spans="3:4">
      <c r="C3826" t="s">
        <v>4180</v>
      </c>
      <c r="D3826" t="str">
        <f t="shared" si="61"/>
        <v>LE7510145601,</v>
      </c>
    </row>
    <row r="3827" spans="3:4">
      <c r="C3827" t="s">
        <v>4179</v>
      </c>
      <c r="D3827" t="str">
        <f t="shared" si="61"/>
        <v>LE7510150675,</v>
      </c>
    </row>
    <row r="3828" spans="3:4">
      <c r="C3828" t="s">
        <v>4017</v>
      </c>
      <c r="D3828" t="str">
        <f t="shared" si="61"/>
        <v>LE7510156197,</v>
      </c>
    </row>
    <row r="3829" spans="3:4">
      <c r="C3829" t="s">
        <v>4396</v>
      </c>
      <c r="D3829" t="str">
        <f t="shared" si="61"/>
        <v>LE7510172237,</v>
      </c>
    </row>
    <row r="3830" spans="3:4">
      <c r="C3830" t="s">
        <v>4397</v>
      </c>
      <c r="D3830" t="str">
        <f t="shared" si="61"/>
        <v>LE7510174204,</v>
      </c>
    </row>
    <row r="3831" spans="3:4">
      <c r="C3831" t="s">
        <v>4172</v>
      </c>
      <c r="D3831" t="str">
        <f t="shared" si="61"/>
        <v>LE7510177173,</v>
      </c>
    </row>
    <row r="3832" spans="3:4">
      <c r="C3832" t="s">
        <v>4398</v>
      </c>
      <c r="D3832" t="str">
        <f t="shared" si="61"/>
        <v>LE7510184389,</v>
      </c>
    </row>
    <row r="3833" spans="3:4">
      <c r="C3833" t="s">
        <v>4399</v>
      </c>
      <c r="D3833" t="str">
        <f t="shared" si="61"/>
        <v>LE7510189752,</v>
      </c>
    </row>
    <row r="3834" spans="3:4">
      <c r="C3834" t="s">
        <v>4400</v>
      </c>
      <c r="D3834" t="str">
        <f t="shared" si="61"/>
        <v>LE7510196492,</v>
      </c>
    </row>
    <row r="3835" spans="3:4">
      <c r="C3835" t="s">
        <v>4401</v>
      </c>
      <c r="D3835" t="str">
        <f t="shared" si="61"/>
        <v>LE7510196652,</v>
      </c>
    </row>
    <row r="3836" spans="3:4">
      <c r="C3836" t="s">
        <v>4402</v>
      </c>
      <c r="D3836" t="str">
        <f t="shared" si="61"/>
        <v>LE7510203356,</v>
      </c>
    </row>
    <row r="3837" spans="3:4">
      <c r="C3837" t="s">
        <v>4038</v>
      </c>
      <c r="D3837" t="str">
        <f t="shared" si="61"/>
        <v>ML7507574857,</v>
      </c>
    </row>
    <row r="3838" spans="3:4">
      <c r="C3838" t="s">
        <v>4403</v>
      </c>
      <c r="D3838" t="str">
        <f t="shared" si="61"/>
        <v>MM9011809290,</v>
      </c>
    </row>
    <row r="3839" spans="3:4">
      <c r="C3839" t="s">
        <v>4040</v>
      </c>
      <c r="D3839" t="str">
        <f t="shared" si="61"/>
        <v>MM7505089062,</v>
      </c>
    </row>
    <row r="3840" spans="3:4">
      <c r="C3840" t="s">
        <v>4404</v>
      </c>
      <c r="D3840" t="str">
        <f t="shared" si="61"/>
        <v>MM7505091696,</v>
      </c>
    </row>
    <row r="3841" spans="3:4">
      <c r="C3841" t="s">
        <v>4190</v>
      </c>
      <c r="D3841" t="str">
        <f t="shared" si="61"/>
        <v>MC7503292932,</v>
      </c>
    </row>
    <row r="3842" spans="3:4">
      <c r="C3842" t="s">
        <v>4223</v>
      </c>
      <c r="D3842" t="str">
        <f t="shared" si="61"/>
        <v>DP7504477251,</v>
      </c>
    </row>
    <row r="3843" spans="3:4">
      <c r="C3843" t="s">
        <v>4405</v>
      </c>
      <c r="D3843" t="str">
        <f t="shared" si="61"/>
        <v>DP0060945906,</v>
      </c>
    </row>
    <row r="3844" spans="3:4">
      <c r="C3844" t="s">
        <v>4070</v>
      </c>
      <c r="D3844" t="str">
        <f t="shared" si="61"/>
        <v>MX9012072279,</v>
      </c>
    </row>
    <row r="3845" spans="3:4">
      <c r="C3845" t="s">
        <v>4406</v>
      </c>
      <c r="D3845" t="str">
        <f t="shared" si="61"/>
        <v>MX9011940127,</v>
      </c>
    </row>
    <row r="3846" spans="3:4">
      <c r="C3846" t="s">
        <v>4068</v>
      </c>
      <c r="D3846" t="str">
        <f t="shared" si="61"/>
        <v>MX7512768835,</v>
      </c>
    </row>
    <row r="3847" spans="3:4">
      <c r="C3847" t="s">
        <v>4407</v>
      </c>
      <c r="D3847" t="str">
        <f t="shared" si="61"/>
        <v>MX7512770855,</v>
      </c>
    </row>
    <row r="3848" spans="3:4">
      <c r="C3848" t="s">
        <v>4058</v>
      </c>
      <c r="D3848" t="str">
        <f t="shared" si="61"/>
        <v>MX7512751665,</v>
      </c>
    </row>
    <row r="3849" spans="3:4">
      <c r="C3849" t="s">
        <v>4059</v>
      </c>
      <c r="D3849" t="str">
        <f t="shared" si="61"/>
        <v>MX7512761205,</v>
      </c>
    </row>
    <row r="3850" spans="3:4">
      <c r="C3850" t="s">
        <v>4061</v>
      </c>
      <c r="D3850" t="str">
        <f t="shared" si="61"/>
        <v>MX7512764781,</v>
      </c>
    </row>
    <row r="3851" spans="3:4">
      <c r="C3851" t="s">
        <v>4064</v>
      </c>
      <c r="D3851" t="str">
        <f t="shared" si="61"/>
        <v>MX7512765789,</v>
      </c>
    </row>
    <row r="3852" spans="3:4">
      <c r="C3852" t="s">
        <v>4065</v>
      </c>
      <c r="D3852" t="str">
        <f t="shared" si="61"/>
        <v>MX7512765993,</v>
      </c>
    </row>
    <row r="3853" spans="3:4">
      <c r="C3853" t="s">
        <v>4197</v>
      </c>
      <c r="D3853" t="str">
        <f t="shared" si="61"/>
        <v>MX7512766942,</v>
      </c>
    </row>
    <row r="3854" spans="3:4">
      <c r="C3854" t="s">
        <v>4408</v>
      </c>
      <c r="D3854" t="str">
        <f t="shared" si="61"/>
        <v>MX7512766963,</v>
      </c>
    </row>
    <row r="3855" spans="3:4">
      <c r="C3855" t="s">
        <v>4066</v>
      </c>
      <c r="D3855" t="str">
        <f t="shared" si="61"/>
        <v>MX7512767792,</v>
      </c>
    </row>
    <row r="3856" spans="3:4">
      <c r="C3856" t="s">
        <v>4067</v>
      </c>
      <c r="D3856" t="str">
        <f t="shared" si="61"/>
        <v>MX7512768709,</v>
      </c>
    </row>
    <row r="3857" spans="3:4">
      <c r="C3857" t="s">
        <v>4069</v>
      </c>
      <c r="D3857" t="str">
        <f t="shared" si="61"/>
        <v>MX7512768921,</v>
      </c>
    </row>
    <row r="3858" spans="3:4">
      <c r="C3858" t="s">
        <v>4062</v>
      </c>
      <c r="D3858" t="str">
        <f t="shared" si="61"/>
        <v>MX7512765291,</v>
      </c>
    </row>
    <row r="3859" spans="3:4">
      <c r="C3859" t="s">
        <v>4215</v>
      </c>
      <c r="D3859" t="str">
        <f t="shared" si="61"/>
        <v>MX7512767760,</v>
      </c>
    </row>
    <row r="3860" spans="3:4">
      <c r="C3860" t="s">
        <v>4409</v>
      </c>
      <c r="D3860" t="str">
        <f t="shared" si="61"/>
        <v>MX7512769927,</v>
      </c>
    </row>
    <row r="3861" spans="3:4">
      <c r="C3861" t="s">
        <v>4037</v>
      </c>
      <c r="D3861" t="str">
        <f t="shared" si="61"/>
        <v>MG7514817185,</v>
      </c>
    </row>
    <row r="3862" spans="3:4">
      <c r="C3862" t="s">
        <v>4410</v>
      </c>
      <c r="D3862" t="str">
        <f t="shared" si="61"/>
        <v>NW7514321605,</v>
      </c>
    </row>
    <row r="3863" spans="3:4">
      <c r="C3863" t="s">
        <v>4411</v>
      </c>
      <c r="D3863" t="str">
        <f t="shared" si="61"/>
        <v>OK7514369542,</v>
      </c>
    </row>
    <row r="3864" spans="3:4">
      <c r="C3864" t="s">
        <v>4412</v>
      </c>
      <c r="D3864" t="str">
        <f t="shared" si="61"/>
        <v>OK7514369965,</v>
      </c>
    </row>
    <row r="3865" spans="3:4">
      <c r="C3865" t="s">
        <v>4413</v>
      </c>
      <c r="D3865" t="str">
        <f t="shared" si="61"/>
        <v>OK7514370133,</v>
      </c>
    </row>
    <row r="3866" spans="3:4">
      <c r="C3866" t="s">
        <v>4414</v>
      </c>
      <c r="D3866" t="str">
        <f t="shared" si="61"/>
        <v>OK7514473275,</v>
      </c>
    </row>
    <row r="3867" spans="3:4">
      <c r="C3867" t="s">
        <v>4415</v>
      </c>
      <c r="D3867" t="str">
        <f t="shared" si="61"/>
        <v>OK7514475166,</v>
      </c>
    </row>
    <row r="3868" spans="3:4">
      <c r="C3868" t="s">
        <v>4416</v>
      </c>
      <c r="D3868" t="str">
        <f t="shared" si="61"/>
        <v>OK7514473957,</v>
      </c>
    </row>
    <row r="3869" spans="3:4">
      <c r="C3869" t="s">
        <v>4076</v>
      </c>
      <c r="D3869" t="str">
        <f t="shared" si="61"/>
        <v>OK7514472535,</v>
      </c>
    </row>
    <row r="3870" spans="3:4">
      <c r="C3870" t="s">
        <v>4417</v>
      </c>
      <c r="D3870" t="str">
        <f t="shared" si="61"/>
        <v>OK7514474665,</v>
      </c>
    </row>
    <row r="3871" spans="3:4">
      <c r="C3871" t="s">
        <v>4418</v>
      </c>
      <c r="D3871" t="str">
        <f t="shared" ref="D3871:D3934" si="62">""&amp;C3871&amp;","</f>
        <v>CH0060762043,</v>
      </c>
    </row>
    <row r="3872" spans="3:4">
      <c r="C3872" t="s">
        <v>3807</v>
      </c>
      <c r="D3872" t="str">
        <f t="shared" si="62"/>
        <v>CH0060762018,</v>
      </c>
    </row>
    <row r="3873" spans="3:4">
      <c r="C3873" t="s">
        <v>4419</v>
      </c>
      <c r="D3873" t="str">
        <f t="shared" si="62"/>
        <v>PW7513565184,</v>
      </c>
    </row>
    <row r="3874" spans="3:4">
      <c r="C3874" t="s">
        <v>4083</v>
      </c>
      <c r="D3874" t="str">
        <f t="shared" si="62"/>
        <v>PW7513562835,</v>
      </c>
    </row>
    <row r="3875" spans="3:4">
      <c r="C3875" t="s">
        <v>4420</v>
      </c>
      <c r="D3875" t="str">
        <f t="shared" si="62"/>
        <v>CC7503198706,</v>
      </c>
    </row>
    <row r="3876" spans="3:4">
      <c r="C3876" t="s">
        <v>4085</v>
      </c>
      <c r="D3876" t="str">
        <f t="shared" si="62"/>
        <v>QD9011819746,</v>
      </c>
    </row>
    <row r="3877" spans="3:4">
      <c r="C3877" t="s">
        <v>4088</v>
      </c>
      <c r="D3877" t="str">
        <f t="shared" si="62"/>
        <v>RN9012059990,</v>
      </c>
    </row>
    <row r="3878" spans="3:4">
      <c r="C3878" t="s">
        <v>4096</v>
      </c>
      <c r="D3878" t="str">
        <f t="shared" si="62"/>
        <v>RW0060944418,</v>
      </c>
    </row>
    <row r="3879" spans="3:4">
      <c r="C3879" t="s">
        <v>4169</v>
      </c>
      <c r="D3879" t="str">
        <f t="shared" si="62"/>
        <v>RW0060919726,</v>
      </c>
    </row>
    <row r="3880" spans="3:4">
      <c r="C3880" t="s">
        <v>4194</v>
      </c>
      <c r="D3880" t="str">
        <f t="shared" si="62"/>
        <v>RW0060936669,</v>
      </c>
    </row>
    <row r="3881" spans="3:4">
      <c r="C3881" t="s">
        <v>4118</v>
      </c>
      <c r="D3881" t="str">
        <f t="shared" si="62"/>
        <v>RW7514860097,</v>
      </c>
    </row>
    <row r="3882" spans="3:4">
      <c r="C3882" t="s">
        <v>4122</v>
      </c>
      <c r="D3882" t="str">
        <f t="shared" si="62"/>
        <v>RW7515005400,</v>
      </c>
    </row>
    <row r="3883" spans="3:4">
      <c r="C3883" t="s">
        <v>4113</v>
      </c>
      <c r="D3883" t="str">
        <f t="shared" si="62"/>
        <v>RW7507300576,</v>
      </c>
    </row>
    <row r="3884" spans="3:4">
      <c r="C3884" t="s">
        <v>4168</v>
      </c>
      <c r="D3884" t="str">
        <f t="shared" si="62"/>
        <v>RW7515004669,</v>
      </c>
    </row>
    <row r="3885" spans="3:4">
      <c r="C3885" t="s">
        <v>4421</v>
      </c>
      <c r="D3885" t="str">
        <f t="shared" si="62"/>
        <v>RW7515004791,</v>
      </c>
    </row>
    <row r="3886" spans="3:4">
      <c r="C3886" t="s">
        <v>4116</v>
      </c>
      <c r="D3886" t="str">
        <f t="shared" si="62"/>
        <v>RW7507304801,</v>
      </c>
    </row>
    <row r="3887" spans="3:4">
      <c r="C3887" t="s">
        <v>4117</v>
      </c>
      <c r="D3887" t="str">
        <f t="shared" si="62"/>
        <v>RW7507305871,</v>
      </c>
    </row>
    <row r="3888" spans="3:4">
      <c r="C3888" t="s">
        <v>4422</v>
      </c>
      <c r="D3888" t="str">
        <f t="shared" si="62"/>
        <v>RW7515005118,</v>
      </c>
    </row>
    <row r="3889" spans="3:4">
      <c r="C3889" t="s">
        <v>4423</v>
      </c>
      <c r="D3889" t="str">
        <f t="shared" si="62"/>
        <v>RW7515007030,</v>
      </c>
    </row>
    <row r="3890" spans="3:4">
      <c r="C3890" t="s">
        <v>4115</v>
      </c>
      <c r="D3890" t="str">
        <f t="shared" si="62"/>
        <v>RW7507302982,</v>
      </c>
    </row>
    <row r="3891" spans="3:4">
      <c r="C3891" t="s">
        <v>4120</v>
      </c>
      <c r="D3891" t="str">
        <f t="shared" si="62"/>
        <v>RW7515002715,</v>
      </c>
    </row>
    <row r="3892" spans="3:4">
      <c r="C3892" t="s">
        <v>4097</v>
      </c>
      <c r="D3892" t="str">
        <f t="shared" si="62"/>
        <v>RW7502482089,</v>
      </c>
    </row>
    <row r="3893" spans="3:4">
      <c r="C3893" t="s">
        <v>4185</v>
      </c>
      <c r="D3893" t="str">
        <f t="shared" si="62"/>
        <v>RW7515006235,</v>
      </c>
    </row>
    <row r="3894" spans="3:4">
      <c r="C3894" t="s">
        <v>4424</v>
      </c>
      <c r="D3894" t="str">
        <f t="shared" si="62"/>
        <v>RW7515006740,</v>
      </c>
    </row>
    <row r="3895" spans="3:4">
      <c r="C3895" t="s">
        <v>4425</v>
      </c>
      <c r="D3895" t="str">
        <f t="shared" si="62"/>
        <v>RW7515005387,</v>
      </c>
    </row>
    <row r="3896" spans="3:4">
      <c r="C3896" t="s">
        <v>4187</v>
      </c>
      <c r="D3896" t="str">
        <f t="shared" si="62"/>
        <v>BA7507943610,</v>
      </c>
    </row>
    <row r="3897" spans="3:4">
      <c r="C3897" t="s">
        <v>4213</v>
      </c>
      <c r="D3897" t="str">
        <f t="shared" si="62"/>
        <v>BA7507943453,</v>
      </c>
    </row>
    <row r="3898" spans="3:4">
      <c r="C3898" t="s">
        <v>4426</v>
      </c>
      <c r="D3898" t="str">
        <f t="shared" si="62"/>
        <v>BA7507943403,</v>
      </c>
    </row>
    <row r="3899" spans="3:4">
      <c r="C3899" t="s">
        <v>3800</v>
      </c>
      <c r="D3899" t="str">
        <f t="shared" si="62"/>
        <v>BA7507943328,</v>
      </c>
    </row>
    <row r="3900" spans="3:4">
      <c r="C3900" t="s">
        <v>3799</v>
      </c>
      <c r="D3900" t="str">
        <f t="shared" si="62"/>
        <v>BA7507942041,</v>
      </c>
    </row>
    <row r="3901" spans="3:4">
      <c r="C3901" t="s">
        <v>4189</v>
      </c>
      <c r="D3901" t="str">
        <f t="shared" si="62"/>
        <v>BA7507944140,</v>
      </c>
    </row>
    <row r="3902" spans="3:4">
      <c r="C3902" t="s">
        <v>3803</v>
      </c>
      <c r="D3902" t="str">
        <f t="shared" si="62"/>
        <v>BL7507542546,</v>
      </c>
    </row>
    <row r="3903" spans="3:4">
      <c r="C3903" t="s">
        <v>3804</v>
      </c>
      <c r="D3903" t="str">
        <f t="shared" si="62"/>
        <v>BL7507542700,</v>
      </c>
    </row>
    <row r="3904" spans="3:4">
      <c r="C3904" t="s">
        <v>3802</v>
      </c>
      <c r="D3904" t="str">
        <f t="shared" si="62"/>
        <v>BL7507542474,</v>
      </c>
    </row>
    <row r="3905" spans="3:4">
      <c r="C3905" t="s">
        <v>4166</v>
      </c>
      <c r="D3905" t="str">
        <f t="shared" si="62"/>
        <v>BK9011941207,</v>
      </c>
    </row>
    <row r="3906" spans="3:4">
      <c r="C3906" t="s">
        <v>3801</v>
      </c>
      <c r="D3906" t="str">
        <f t="shared" si="62"/>
        <v>BK0060184165,</v>
      </c>
    </row>
    <row r="3907" spans="3:4">
      <c r="C3907" t="s">
        <v>4142</v>
      </c>
      <c r="D3907" t="str">
        <f t="shared" si="62"/>
        <v>SQ9011813067,</v>
      </c>
    </row>
    <row r="3908" spans="3:4">
      <c r="C3908" t="s">
        <v>4427</v>
      </c>
      <c r="D3908" t="str">
        <f t="shared" si="62"/>
        <v>SW7513964683,</v>
      </c>
    </row>
    <row r="3909" spans="3:4">
      <c r="C3909" t="s">
        <v>4214</v>
      </c>
      <c r="D3909" t="str">
        <f t="shared" si="62"/>
        <v>SF7504588591,</v>
      </c>
    </row>
    <row r="3910" spans="3:4">
      <c r="C3910" t="s">
        <v>4127</v>
      </c>
      <c r="D3910" t="str">
        <f t="shared" si="62"/>
        <v>SA7514145048,</v>
      </c>
    </row>
    <row r="3911" spans="3:4">
      <c r="C3911" t="s">
        <v>4128</v>
      </c>
      <c r="D3911" t="str">
        <f t="shared" si="62"/>
        <v>SA7514146093,</v>
      </c>
    </row>
    <row r="3912" spans="3:4">
      <c r="C3912" t="s">
        <v>4130</v>
      </c>
      <c r="D3912" t="str">
        <f t="shared" si="62"/>
        <v>SA7514149264,</v>
      </c>
    </row>
    <row r="3913" spans="3:4">
      <c r="C3913" t="s">
        <v>4125</v>
      </c>
      <c r="D3913" t="str">
        <f t="shared" si="62"/>
        <v>SA7514077313,</v>
      </c>
    </row>
    <row r="3914" spans="3:4">
      <c r="C3914" t="s">
        <v>4212</v>
      </c>
      <c r="D3914" t="str">
        <f t="shared" si="62"/>
        <v>SA7514077862,</v>
      </c>
    </row>
    <row r="3915" spans="3:4">
      <c r="C3915" t="s">
        <v>4126</v>
      </c>
      <c r="D3915" t="str">
        <f t="shared" si="62"/>
        <v>SA7514079219,</v>
      </c>
    </row>
    <row r="3916" spans="3:4">
      <c r="C3916" t="s">
        <v>4158</v>
      </c>
      <c r="D3916" t="str">
        <f t="shared" si="62"/>
        <v>SA7514081718,</v>
      </c>
    </row>
    <row r="3917" spans="3:4">
      <c r="C3917" t="s">
        <v>4428</v>
      </c>
      <c r="D3917" t="str">
        <f t="shared" si="62"/>
        <v>SA7515162728,</v>
      </c>
    </row>
    <row r="3918" spans="3:4">
      <c r="C3918" t="s">
        <v>4429</v>
      </c>
      <c r="D3918" t="str">
        <f t="shared" si="62"/>
        <v>SA7507890415,</v>
      </c>
    </row>
    <row r="3919" spans="3:4">
      <c r="C3919" t="s">
        <v>4176</v>
      </c>
      <c r="D3919" t="str">
        <f t="shared" si="62"/>
        <v>SA7514081335,</v>
      </c>
    </row>
    <row r="3920" spans="3:4">
      <c r="C3920" t="s">
        <v>4195</v>
      </c>
      <c r="D3920" t="str">
        <f t="shared" si="62"/>
        <v>SA7514082138,</v>
      </c>
    </row>
    <row r="3921" spans="3:4">
      <c r="C3921" t="s">
        <v>4430</v>
      </c>
      <c r="D3921" t="str">
        <f t="shared" si="62"/>
        <v>SA7514082605,</v>
      </c>
    </row>
    <row r="3922" spans="3:4">
      <c r="C3922" t="s">
        <v>4129</v>
      </c>
      <c r="D3922" t="str">
        <f t="shared" si="62"/>
        <v>SA7514147719,</v>
      </c>
    </row>
    <row r="3923" spans="3:4">
      <c r="C3923" t="s">
        <v>2248</v>
      </c>
      <c r="D3923" t="str">
        <f t="shared" si="62"/>
        <v>BW7513894030,</v>
      </c>
    </row>
    <row r="3924" spans="3:4">
      <c r="C3924" t="s">
        <v>4431</v>
      </c>
      <c r="D3924" t="str">
        <f t="shared" si="62"/>
        <v>BW9011938102,</v>
      </c>
    </row>
    <row r="3925" spans="3:4">
      <c r="C3925" t="s">
        <v>4131</v>
      </c>
      <c r="D3925" t="str">
        <f t="shared" si="62"/>
        <v>SD7507949761,</v>
      </c>
    </row>
    <row r="3926" spans="3:4">
      <c r="C3926" t="s">
        <v>4209</v>
      </c>
      <c r="D3926" t="str">
        <f t="shared" si="62"/>
        <v>SP7515051607,</v>
      </c>
    </row>
    <row r="3927" spans="3:4">
      <c r="C3927" t="s">
        <v>4143</v>
      </c>
      <c r="D3927" t="str">
        <f t="shared" si="62"/>
        <v>SR7503828262,</v>
      </c>
    </row>
    <row r="3928" spans="3:4">
      <c r="C3928" t="s">
        <v>4135</v>
      </c>
      <c r="D3928" t="str">
        <f t="shared" si="62"/>
        <v>SL7507527679,</v>
      </c>
    </row>
    <row r="3929" spans="3:4">
      <c r="C3929" t="s">
        <v>4136</v>
      </c>
      <c r="D3929" t="str">
        <f t="shared" si="62"/>
        <v>SL7507529443,</v>
      </c>
    </row>
    <row r="3930" spans="3:4">
      <c r="C3930" t="s">
        <v>4137</v>
      </c>
      <c r="D3930" t="str">
        <f t="shared" si="62"/>
        <v>SL7507529770,</v>
      </c>
    </row>
    <row r="3931" spans="3:4">
      <c r="C3931" t="s">
        <v>2246</v>
      </c>
      <c r="D3931" t="str">
        <f t="shared" si="62"/>
        <v>SL7507530831,</v>
      </c>
    </row>
    <row r="3932" spans="3:4">
      <c r="C3932" t="s">
        <v>4432</v>
      </c>
      <c r="D3932" t="str">
        <f t="shared" si="62"/>
        <v>SL7507528907,</v>
      </c>
    </row>
    <row r="3933" spans="3:4">
      <c r="C3933" t="s">
        <v>4144</v>
      </c>
      <c r="D3933" t="str">
        <f t="shared" si="62"/>
        <v>TM7513952484,</v>
      </c>
    </row>
    <row r="3934" spans="3:4">
      <c r="C3934" t="s">
        <v>4149</v>
      </c>
      <c r="D3934" t="str">
        <f t="shared" si="62"/>
        <v>TT0060889300,</v>
      </c>
    </row>
    <row r="3935" spans="3:4">
      <c r="C3935" t="s">
        <v>4145</v>
      </c>
      <c r="D3935" t="str">
        <f t="shared" ref="D3935:D3965" si="63">""&amp;C3935&amp;","</f>
        <v>TP7504618701,</v>
      </c>
    </row>
    <row r="3936" spans="3:4">
      <c r="C3936" t="s">
        <v>4147</v>
      </c>
      <c r="D3936" t="str">
        <f t="shared" si="63"/>
        <v>VR7503501392,</v>
      </c>
    </row>
    <row r="3937" spans="3:4">
      <c r="C3937" t="s">
        <v>4433</v>
      </c>
      <c r="D3937" t="str">
        <f t="shared" si="63"/>
        <v>WC7506797390,</v>
      </c>
    </row>
    <row r="3938" spans="3:4">
      <c r="C3938" t="s">
        <v>4434</v>
      </c>
      <c r="D3938" t="str">
        <f t="shared" si="63"/>
        <v>LE7510196326,</v>
      </c>
    </row>
    <row r="3939" spans="3:4">
      <c r="C3939" t="s">
        <v>2257</v>
      </c>
      <c r="D3939" t="str">
        <f t="shared" si="63"/>
        <v>AT7504326516,</v>
      </c>
    </row>
    <row r="3940" spans="3:4">
      <c r="C3940" t="s">
        <v>4435</v>
      </c>
      <c r="D3940" t="str">
        <f t="shared" si="63"/>
        <v>AT7504327095,</v>
      </c>
    </row>
    <row r="3941" spans="3:4">
      <c r="C3941" t="s">
        <v>4436</v>
      </c>
      <c r="D3941" t="str">
        <f t="shared" si="63"/>
        <v>AT7504326832,</v>
      </c>
    </row>
    <row r="3942" spans="3:4">
      <c r="C3942" t="s">
        <v>3798</v>
      </c>
      <c r="D3942" t="str">
        <f t="shared" si="63"/>
        <v>AT7504327430,</v>
      </c>
    </row>
    <row r="3943" spans="3:4">
      <c r="C3943" t="s">
        <v>4437</v>
      </c>
      <c r="D3943" t="str">
        <f t="shared" si="63"/>
        <v>AT7504326731,</v>
      </c>
    </row>
    <row r="3944" spans="3:4">
      <c r="C3944" t="s">
        <v>4438</v>
      </c>
      <c r="D3944" t="str">
        <f t="shared" si="63"/>
        <v>AT7504326993,</v>
      </c>
    </row>
    <row r="3945" spans="3:4">
      <c r="C3945" t="s">
        <v>4439</v>
      </c>
      <c r="D3945" t="str">
        <f t="shared" si="63"/>
        <v>AT7504326848,</v>
      </c>
    </row>
    <row r="3946" spans="3:4">
      <c r="C3946" t="s">
        <v>4440</v>
      </c>
      <c r="D3946" t="str">
        <f t="shared" si="63"/>
        <v>AT7504327119,</v>
      </c>
    </row>
    <row r="3947" spans="3:4">
      <c r="C3947" t="s">
        <v>4441</v>
      </c>
      <c r="D3947" t="str">
        <f t="shared" si="63"/>
        <v>AT7504326997,</v>
      </c>
    </row>
    <row r="3948" spans="3:4">
      <c r="C3948" t="s">
        <v>4442</v>
      </c>
      <c r="D3948" t="str">
        <f t="shared" si="63"/>
        <v>AT7504326909,</v>
      </c>
    </row>
    <row r="3949" spans="3:4">
      <c r="C3949" t="s">
        <v>4443</v>
      </c>
      <c r="D3949" t="str">
        <f t="shared" si="63"/>
        <v>AT7504326892,</v>
      </c>
    </row>
    <row r="3950" spans="3:4">
      <c r="C3950" t="s">
        <v>4444</v>
      </c>
      <c r="D3950" t="str">
        <f t="shared" si="63"/>
        <v>AT7504326891,</v>
      </c>
    </row>
    <row r="3951" spans="3:4">
      <c r="C3951" t="s">
        <v>4445</v>
      </c>
      <c r="D3951" t="str">
        <f t="shared" si="63"/>
        <v>AT7504326810,</v>
      </c>
    </row>
    <row r="3952" spans="3:4">
      <c r="C3952" t="s">
        <v>4446</v>
      </c>
      <c r="D3952" t="str">
        <f t="shared" si="63"/>
        <v>AT7504326505,</v>
      </c>
    </row>
    <row r="3953" spans="3:4">
      <c r="C3953" t="s">
        <v>4447</v>
      </c>
      <c r="D3953" t="str">
        <f t="shared" si="63"/>
        <v>AT7504327098,</v>
      </c>
    </row>
    <row r="3954" spans="3:4">
      <c r="C3954" t="s">
        <v>4448</v>
      </c>
      <c r="D3954" t="str">
        <f t="shared" si="63"/>
        <v>AT7504326579,</v>
      </c>
    </row>
    <row r="3955" spans="3:4">
      <c r="C3955" t="s">
        <v>4449</v>
      </c>
      <c r="D3955" t="str">
        <f t="shared" si="63"/>
        <v>AT7504326610,</v>
      </c>
    </row>
    <row r="3956" spans="3:4">
      <c r="C3956" t="s">
        <v>4450</v>
      </c>
      <c r="D3956" t="str">
        <f t="shared" si="63"/>
        <v>AT7504327042,</v>
      </c>
    </row>
    <row r="3957" spans="3:4">
      <c r="C3957" t="s">
        <v>4451</v>
      </c>
      <c r="D3957" t="str">
        <f t="shared" si="63"/>
        <v>AT7504326969,</v>
      </c>
    </row>
    <row r="3958" spans="3:4">
      <c r="C3958" t="s">
        <v>4452</v>
      </c>
      <c r="D3958" t="str">
        <f t="shared" si="63"/>
        <v>AT7504326701,</v>
      </c>
    </row>
    <row r="3959" spans="3:4">
      <c r="C3959" t="s">
        <v>4453</v>
      </c>
      <c r="D3959" t="str">
        <f t="shared" si="63"/>
        <v>AT7504327073,</v>
      </c>
    </row>
    <row r="3960" spans="3:4">
      <c r="C3960" t="s">
        <v>4174</v>
      </c>
      <c r="D3960" t="str">
        <f t="shared" si="63"/>
        <v>AT7504327471,</v>
      </c>
    </row>
    <row r="3961" spans="3:4">
      <c r="C3961" t="s">
        <v>4203</v>
      </c>
      <c r="D3961" t="str">
        <f t="shared" si="63"/>
        <v>AT7504327556,</v>
      </c>
    </row>
    <row r="3962" spans="3:4">
      <c r="C3962" t="s">
        <v>4454</v>
      </c>
      <c r="D3962" t="str">
        <f t="shared" si="63"/>
        <v>AT7504327453,</v>
      </c>
    </row>
    <row r="3963" spans="3:4">
      <c r="C3963" t="s">
        <v>4455</v>
      </c>
      <c r="D3963" t="str">
        <f t="shared" si="63"/>
        <v>AT7504326603,</v>
      </c>
    </row>
    <row r="3964" spans="3:4">
      <c r="C3964" t="s">
        <v>4456</v>
      </c>
      <c r="D3964" t="str">
        <f t="shared" si="63"/>
        <v>KI7509773706,</v>
      </c>
    </row>
    <row r="3965" spans="3:4">
      <c r="C3965" t="s">
        <v>4457</v>
      </c>
      <c r="D3965" t="str">
        <f t="shared" si="63"/>
        <v>BA7507937017,</v>
      </c>
    </row>
  </sheetData>
  <mergeCells count="1">
    <mergeCell ref="A22:B22"/>
  </mergeCells>
  <conditionalFormatting sqref="C29:C1771">
    <cfRule type="duplicateValues" dxfId="795" priority="7"/>
    <cfRule type="duplicateValues" dxfId="794" priority="8"/>
  </conditionalFormatting>
  <conditionalFormatting sqref="C29:C2151">
    <cfRule type="duplicateValues" dxfId="793" priority="9"/>
  </conditionalFormatting>
  <conditionalFormatting sqref="E2:E22">
    <cfRule type="dataBar" priority="2">
      <dataBar>
        <cfvo type="min"/>
        <cfvo type="max"/>
        <color rgb="FF638EC6"/>
      </dataBar>
      <extLst>
        <ext xmlns:x14="http://schemas.microsoft.com/office/spreadsheetml/2009/9/main" uri="{B025F937-C7B1-47D3-B67F-A62EFF666E3E}">
          <x14:id>{B97FE4C2-4AA0-438A-B0F4-5EF3629D648F}</x14:id>
        </ext>
      </extLst>
    </cfRule>
  </conditionalFormatting>
  <conditionalFormatting sqref="F2:F22">
    <cfRule type="colorScale" priority="1">
      <colorScale>
        <cfvo type="min"/>
        <cfvo type="percentile" val="50"/>
        <cfvo type="max"/>
        <color rgb="FFF8696B"/>
        <color rgb="FFFCFCFF"/>
        <color rgb="FF63BE7B"/>
      </colorScale>
    </cfRule>
  </conditionalFormatting>
  <conditionalFormatting sqref="G1:G22">
    <cfRule type="cellIs" dxfId="792" priority="3" operator="between">
      <formula>0.09</formula>
      <formula>0.95</formula>
    </cfRule>
    <cfRule type="cellIs" dxfId="791" priority="4" operator="between">
      <formula>0.95</formula>
      <formula>1</formula>
    </cfRule>
    <cfRule type="cellIs" dxfId="790" priority="5" operator="between">
      <formula>1.1</formula>
      <formula>1.3</formula>
    </cfRule>
    <cfRule type="cellIs" dxfId="789" priority="6" operator="between">
      <formula>1</formula>
      <formula>1.1</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97FE4C2-4AA0-438A-B0F4-5EF3629D648F}">
            <x14:dataBar minLength="0" maxLength="100" gradient="0">
              <x14:cfvo type="autoMin"/>
              <x14:cfvo type="autoMax"/>
              <x14:negativeFillColor rgb="FFFF0000"/>
              <x14:axisColor rgb="FF000000"/>
            </x14:dataBar>
          </x14:cfRule>
          <xm:sqref>E2:E22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CC2E-3B5C-4CC9-B0DB-77B023A823EF}">
  <sheetPr filterMode="1"/>
  <dimension ref="A1:E158"/>
  <sheetViews>
    <sheetView workbookViewId="0"/>
  </sheetViews>
  <sheetFormatPr defaultRowHeight="15"/>
  <cols>
    <col min="1" max="1" width="14.28515625" bestFit="1" customWidth="1"/>
    <col min="2" max="2" width="10" bestFit="1" customWidth="1"/>
    <col min="3" max="3" width="7.7109375" bestFit="1" customWidth="1"/>
    <col min="4" max="4" width="9.42578125" bestFit="1" customWidth="1"/>
    <col min="5" max="5" width="11" bestFit="1" customWidth="1"/>
    <col min="7" max="7" width="3.28515625" bestFit="1" customWidth="1"/>
  </cols>
  <sheetData>
    <row r="1" spans="1:5">
      <c r="A1" s="71" t="s">
        <v>1361</v>
      </c>
      <c r="B1" s="71" t="s">
        <v>1364</v>
      </c>
      <c r="C1" s="71" t="s">
        <v>1406</v>
      </c>
      <c r="D1" s="71" t="s">
        <v>20</v>
      </c>
      <c r="E1" s="71" t="s">
        <v>1418</v>
      </c>
    </row>
    <row r="2" spans="1:5" hidden="1">
      <c r="A2" s="69" t="s">
        <v>1365</v>
      </c>
      <c r="B2" s="69" t="s">
        <v>1366</v>
      </c>
      <c r="C2" s="69" t="s">
        <v>1367</v>
      </c>
      <c r="D2" s="70">
        <v>45939</v>
      </c>
      <c r="E2" s="69" t="s">
        <v>1419</v>
      </c>
    </row>
    <row r="3" spans="1:5" hidden="1">
      <c r="A3" s="64" t="s">
        <v>1368</v>
      </c>
      <c r="B3" s="64" t="s">
        <v>1369</v>
      </c>
      <c r="C3" s="64" t="s">
        <v>1367</v>
      </c>
      <c r="D3" s="65">
        <v>45939</v>
      </c>
      <c r="E3" s="64" t="s">
        <v>1419</v>
      </c>
    </row>
    <row r="4" spans="1:5" hidden="1">
      <c r="A4" s="64" t="s">
        <v>1370</v>
      </c>
      <c r="B4" s="64" t="s">
        <v>1371</v>
      </c>
      <c r="C4" s="64" t="s">
        <v>1367</v>
      </c>
      <c r="D4" s="65">
        <v>45939</v>
      </c>
      <c r="E4" s="64" t="s">
        <v>1419</v>
      </c>
    </row>
    <row r="5" spans="1:5" hidden="1">
      <c r="A5" s="64" t="s">
        <v>1374</v>
      </c>
      <c r="B5" s="64" t="s">
        <v>1375</v>
      </c>
      <c r="C5" s="64" t="s">
        <v>1367</v>
      </c>
      <c r="D5" s="65">
        <v>45939</v>
      </c>
      <c r="E5" s="64" t="s">
        <v>1419</v>
      </c>
    </row>
    <row r="6" spans="1:5" hidden="1">
      <c r="A6" s="64" t="s">
        <v>1378</v>
      </c>
      <c r="B6" s="64" t="s">
        <v>1379</v>
      </c>
      <c r="C6" s="64" t="s">
        <v>1367</v>
      </c>
      <c r="D6" s="65">
        <v>45939</v>
      </c>
      <c r="E6" s="64" t="s">
        <v>1419</v>
      </c>
    </row>
    <row r="7" spans="1:5" hidden="1">
      <c r="A7" s="64" t="s">
        <v>1386</v>
      </c>
      <c r="B7" s="64" t="s">
        <v>1391</v>
      </c>
      <c r="C7" s="64" t="s">
        <v>1367</v>
      </c>
      <c r="D7" s="65">
        <v>45939</v>
      </c>
      <c r="E7" s="64" t="s">
        <v>1419</v>
      </c>
    </row>
    <row r="8" spans="1:5" hidden="1">
      <c r="A8" s="64" t="s">
        <v>1387</v>
      </c>
      <c r="B8" s="64" t="s">
        <v>1388</v>
      </c>
      <c r="C8" s="64" t="s">
        <v>1367</v>
      </c>
      <c r="D8" s="65">
        <v>45939</v>
      </c>
      <c r="E8" s="64" t="s">
        <v>1419</v>
      </c>
    </row>
    <row r="9" spans="1:5" hidden="1">
      <c r="A9" s="64" t="s">
        <v>1392</v>
      </c>
      <c r="B9" s="64" t="s">
        <v>1393</v>
      </c>
      <c r="C9" s="64" t="s">
        <v>1367</v>
      </c>
      <c r="D9" s="65">
        <v>45939</v>
      </c>
      <c r="E9" s="64" t="s">
        <v>1419</v>
      </c>
    </row>
    <row r="10" spans="1:5" hidden="1">
      <c r="A10" s="64" t="s">
        <v>1402</v>
      </c>
      <c r="B10" s="64" t="s">
        <v>1403</v>
      </c>
      <c r="C10" s="64" t="s">
        <v>1367</v>
      </c>
      <c r="D10" s="65">
        <v>45939</v>
      </c>
      <c r="E10" s="64" t="s">
        <v>1419</v>
      </c>
    </row>
    <row r="11" spans="1:5" hidden="1">
      <c r="A11" s="64" t="s">
        <v>1407</v>
      </c>
      <c r="B11" s="64" t="s">
        <v>1408</v>
      </c>
      <c r="C11" s="64" t="s">
        <v>1367</v>
      </c>
      <c r="D11" s="65">
        <v>45939</v>
      </c>
      <c r="E11" s="64" t="s">
        <v>1419</v>
      </c>
    </row>
    <row r="12" spans="1:5" hidden="1">
      <c r="A12" s="64" t="s">
        <v>1409</v>
      </c>
      <c r="B12" s="64" t="s">
        <v>1410</v>
      </c>
      <c r="C12" s="64" t="s">
        <v>1367</v>
      </c>
      <c r="D12" s="65">
        <v>45939</v>
      </c>
      <c r="E12" s="64" t="s">
        <v>1419</v>
      </c>
    </row>
    <row r="13" spans="1:5" hidden="1">
      <c r="A13" s="64" t="s">
        <v>1411</v>
      </c>
      <c r="B13" s="64" t="s">
        <v>1412</v>
      </c>
      <c r="C13" s="64" t="s">
        <v>1367</v>
      </c>
      <c r="D13" s="65">
        <v>45939</v>
      </c>
      <c r="E13" s="64" t="s">
        <v>1419</v>
      </c>
    </row>
    <row r="14" spans="1:5" hidden="1">
      <c r="A14" s="64" t="s">
        <v>1357</v>
      </c>
      <c r="B14" s="64" t="s">
        <v>1358</v>
      </c>
      <c r="C14" s="64" t="s">
        <v>1417</v>
      </c>
      <c r="D14" s="65">
        <v>45939</v>
      </c>
      <c r="E14" s="64" t="s">
        <v>1419</v>
      </c>
    </row>
    <row r="15" spans="1:5" hidden="1">
      <c r="A15" s="64" t="s">
        <v>1359</v>
      </c>
      <c r="B15" s="64" t="s">
        <v>1360</v>
      </c>
      <c r="C15" s="64" t="s">
        <v>1417</v>
      </c>
      <c r="D15" s="65">
        <v>45939</v>
      </c>
      <c r="E15" s="64" t="s">
        <v>1419</v>
      </c>
    </row>
    <row r="16" spans="1:5" hidden="1">
      <c r="A16" s="64" t="s">
        <v>1362</v>
      </c>
      <c r="B16" s="64" t="s">
        <v>1363</v>
      </c>
      <c r="C16" s="64" t="s">
        <v>1417</v>
      </c>
      <c r="D16" s="65">
        <v>45939</v>
      </c>
      <c r="E16" s="64" t="s">
        <v>1419</v>
      </c>
    </row>
    <row r="17" spans="1:5" hidden="1">
      <c r="A17" s="64" t="s">
        <v>1372</v>
      </c>
      <c r="B17" s="64" t="s">
        <v>1373</v>
      </c>
      <c r="C17" s="64" t="s">
        <v>1417</v>
      </c>
      <c r="D17" s="65">
        <v>45939</v>
      </c>
      <c r="E17" s="64" t="s">
        <v>1419</v>
      </c>
    </row>
    <row r="18" spans="1:5" hidden="1">
      <c r="A18" s="64" t="s">
        <v>1376</v>
      </c>
      <c r="B18" s="64" t="s">
        <v>1377</v>
      </c>
      <c r="C18" s="64" t="s">
        <v>1417</v>
      </c>
      <c r="D18" s="65">
        <v>45939</v>
      </c>
      <c r="E18" s="64" t="s">
        <v>1419</v>
      </c>
    </row>
    <row r="19" spans="1:5" hidden="1">
      <c r="A19" s="64" t="s">
        <v>1380</v>
      </c>
      <c r="B19" s="64" t="s">
        <v>1381</v>
      </c>
      <c r="C19" s="64" t="s">
        <v>1417</v>
      </c>
      <c r="D19" s="65">
        <v>45939</v>
      </c>
      <c r="E19" s="64" t="s">
        <v>1419</v>
      </c>
    </row>
    <row r="20" spans="1:5" hidden="1">
      <c r="A20" s="64" t="s">
        <v>1382</v>
      </c>
      <c r="B20" s="64" t="s">
        <v>1383</v>
      </c>
      <c r="C20" s="64" t="s">
        <v>1417</v>
      </c>
      <c r="D20" s="65">
        <v>45939</v>
      </c>
      <c r="E20" s="64" t="s">
        <v>1419</v>
      </c>
    </row>
    <row r="21" spans="1:5" hidden="1">
      <c r="A21" s="64" t="s">
        <v>1384</v>
      </c>
      <c r="B21" s="64" t="s">
        <v>1385</v>
      </c>
      <c r="C21" s="64" t="s">
        <v>1417</v>
      </c>
      <c r="D21" s="65">
        <v>45939</v>
      </c>
      <c r="E21" s="64" t="s">
        <v>1419</v>
      </c>
    </row>
    <row r="22" spans="1:5" hidden="1">
      <c r="A22" s="64" t="s">
        <v>1389</v>
      </c>
      <c r="B22" s="64" t="s">
        <v>1390</v>
      </c>
      <c r="C22" s="64" t="s">
        <v>1417</v>
      </c>
      <c r="D22" s="65">
        <v>45939</v>
      </c>
      <c r="E22" s="64" t="s">
        <v>1419</v>
      </c>
    </row>
    <row r="23" spans="1:5" hidden="1">
      <c r="A23" s="64" t="s">
        <v>1394</v>
      </c>
      <c r="B23" s="64" t="s">
        <v>1395</v>
      </c>
      <c r="C23" s="64" t="s">
        <v>1417</v>
      </c>
      <c r="D23" s="65">
        <v>45939</v>
      </c>
      <c r="E23" s="64" t="s">
        <v>1419</v>
      </c>
    </row>
    <row r="24" spans="1:5" hidden="1">
      <c r="A24" s="64" t="s">
        <v>1396</v>
      </c>
      <c r="B24" s="64" t="s">
        <v>1397</v>
      </c>
      <c r="C24" s="64" t="s">
        <v>1417</v>
      </c>
      <c r="D24" s="65">
        <v>45939</v>
      </c>
      <c r="E24" s="64" t="s">
        <v>1419</v>
      </c>
    </row>
    <row r="25" spans="1:5" hidden="1">
      <c r="A25" s="64" t="s">
        <v>1398</v>
      </c>
      <c r="B25" s="64" t="s">
        <v>1399</v>
      </c>
      <c r="C25" s="64" t="s">
        <v>1417</v>
      </c>
      <c r="D25" s="65">
        <v>45939</v>
      </c>
      <c r="E25" s="64" t="s">
        <v>1419</v>
      </c>
    </row>
    <row r="26" spans="1:5" hidden="1">
      <c r="A26" s="64" t="s">
        <v>1400</v>
      </c>
      <c r="B26" s="64" t="s">
        <v>1401</v>
      </c>
      <c r="C26" s="64" t="s">
        <v>1417</v>
      </c>
      <c r="D26" s="65">
        <v>45939</v>
      </c>
      <c r="E26" s="64" t="s">
        <v>1419</v>
      </c>
    </row>
    <row r="27" spans="1:5" hidden="1">
      <c r="A27" s="64" t="s">
        <v>1404</v>
      </c>
      <c r="B27" s="64" t="s">
        <v>1405</v>
      </c>
      <c r="C27" s="64" t="s">
        <v>1417</v>
      </c>
      <c r="D27" s="65">
        <v>45939</v>
      </c>
      <c r="E27" s="64" t="s">
        <v>1419</v>
      </c>
    </row>
    <row r="28" spans="1:5" hidden="1">
      <c r="A28" s="64" t="s">
        <v>1413</v>
      </c>
      <c r="B28" s="64" t="s">
        <v>1414</v>
      </c>
      <c r="C28" s="64" t="s">
        <v>1417</v>
      </c>
      <c r="D28" s="65">
        <v>45939</v>
      </c>
      <c r="E28" s="64" t="s">
        <v>1419</v>
      </c>
    </row>
    <row r="29" spans="1:5" hidden="1">
      <c r="A29" s="64" t="s">
        <v>1415</v>
      </c>
      <c r="B29" s="64" t="s">
        <v>1416</v>
      </c>
      <c r="C29" s="64" t="s">
        <v>1417</v>
      </c>
      <c r="D29" s="65">
        <v>45939</v>
      </c>
      <c r="E29" s="64" t="s">
        <v>1419</v>
      </c>
    </row>
    <row r="30" spans="1:5" hidden="1">
      <c r="A30" s="64" t="s">
        <v>1420</v>
      </c>
      <c r="B30" s="64" t="s">
        <v>1358</v>
      </c>
      <c r="C30" s="64" t="s">
        <v>1417</v>
      </c>
      <c r="D30" s="65">
        <v>45939</v>
      </c>
      <c r="E30" s="64" t="s">
        <v>1419</v>
      </c>
    </row>
    <row r="31" spans="1:5" hidden="1">
      <c r="A31" s="64" t="s">
        <v>1421</v>
      </c>
      <c r="B31" s="64" t="s">
        <v>1371</v>
      </c>
      <c r="C31" s="64" t="s">
        <v>1367</v>
      </c>
      <c r="D31" s="65">
        <v>45939</v>
      </c>
      <c r="E31" s="64" t="s">
        <v>1419</v>
      </c>
    </row>
    <row r="32" spans="1:5" hidden="1">
      <c r="A32" s="64" t="s">
        <v>1422</v>
      </c>
      <c r="B32" s="64" t="s">
        <v>1371</v>
      </c>
      <c r="C32" s="64" t="s">
        <v>1367</v>
      </c>
      <c r="D32" s="65">
        <v>45939</v>
      </c>
      <c r="E32" s="64" t="s">
        <v>1419</v>
      </c>
    </row>
    <row r="33" spans="1:5" hidden="1">
      <c r="A33" s="64" t="s">
        <v>1558</v>
      </c>
      <c r="B33" s="64" t="s">
        <v>1373</v>
      </c>
      <c r="C33" s="64" t="s">
        <v>1417</v>
      </c>
      <c r="D33" s="65">
        <v>45940</v>
      </c>
      <c r="E33" s="64" t="s">
        <v>1564</v>
      </c>
    </row>
    <row r="34" spans="1:5" hidden="1">
      <c r="A34" s="64" t="s">
        <v>1559</v>
      </c>
      <c r="B34" s="64" t="s">
        <v>1358</v>
      </c>
      <c r="C34" s="64" t="s">
        <v>1417</v>
      </c>
      <c r="D34" s="65">
        <v>45940</v>
      </c>
      <c r="E34" s="64" t="s">
        <v>1564</v>
      </c>
    </row>
    <row r="35" spans="1:5" hidden="1">
      <c r="A35" s="64" t="s">
        <v>1560</v>
      </c>
      <c r="B35" s="64" t="s">
        <v>1373</v>
      </c>
      <c r="C35" s="64" t="s">
        <v>1417</v>
      </c>
      <c r="D35" s="65">
        <v>45940</v>
      </c>
      <c r="E35" s="64" t="s">
        <v>1564</v>
      </c>
    </row>
    <row r="36" spans="1:5" hidden="1">
      <c r="A36" s="64" t="s">
        <v>1561</v>
      </c>
      <c r="B36" s="64" t="s">
        <v>1358</v>
      </c>
      <c r="C36" s="64" t="s">
        <v>1417</v>
      </c>
      <c r="D36" s="65">
        <v>45940</v>
      </c>
      <c r="E36" s="64" t="s">
        <v>1564</v>
      </c>
    </row>
    <row r="37" spans="1:5" hidden="1">
      <c r="A37" s="64" t="s">
        <v>1562</v>
      </c>
      <c r="B37" s="64" t="s">
        <v>1373</v>
      </c>
      <c r="C37" s="64" t="s">
        <v>1417</v>
      </c>
      <c r="D37" s="65">
        <v>45940</v>
      </c>
      <c r="E37" s="64" t="s">
        <v>1564</v>
      </c>
    </row>
    <row r="38" spans="1:5" hidden="1">
      <c r="A38" s="64" t="s">
        <v>1570</v>
      </c>
      <c r="B38" s="64" t="s">
        <v>1385</v>
      </c>
      <c r="C38" s="64" t="s">
        <v>1417</v>
      </c>
      <c r="D38" s="65">
        <v>45940</v>
      </c>
      <c r="E38" s="64" t="s">
        <v>1564</v>
      </c>
    </row>
    <row r="39" spans="1:5" hidden="1">
      <c r="A39" s="64" t="s">
        <v>1571</v>
      </c>
      <c r="B39" s="64" t="s">
        <v>1383</v>
      </c>
      <c r="C39" s="64" t="s">
        <v>1417</v>
      </c>
      <c r="D39" s="65">
        <v>45940</v>
      </c>
      <c r="E39" s="64" t="s">
        <v>1564</v>
      </c>
    </row>
    <row r="40" spans="1:5" hidden="1">
      <c r="A40" s="64" t="s">
        <v>1574</v>
      </c>
      <c r="B40" s="64" t="s">
        <v>1381</v>
      </c>
      <c r="C40" s="64" t="s">
        <v>1417</v>
      </c>
      <c r="D40" s="65">
        <v>45940</v>
      </c>
      <c r="E40" s="64" t="s">
        <v>1564</v>
      </c>
    </row>
    <row r="41" spans="1:5" hidden="1">
      <c r="A41" s="64" t="s">
        <v>1579</v>
      </c>
      <c r="B41" s="64" t="s">
        <v>1414</v>
      </c>
      <c r="C41" s="64" t="s">
        <v>1417</v>
      </c>
      <c r="D41" s="65">
        <v>45940</v>
      </c>
      <c r="E41" s="64" t="s">
        <v>1564</v>
      </c>
    </row>
    <row r="42" spans="1:5" hidden="1">
      <c r="A42" s="64" t="s">
        <v>1580</v>
      </c>
      <c r="B42" s="64" t="s">
        <v>1397</v>
      </c>
      <c r="C42" s="64" t="s">
        <v>1417</v>
      </c>
      <c r="D42" s="65">
        <v>45940</v>
      </c>
      <c r="E42" s="64" t="s">
        <v>1564</v>
      </c>
    </row>
    <row r="43" spans="1:5" hidden="1">
      <c r="A43" s="64" t="s">
        <v>1583</v>
      </c>
      <c r="B43" s="64" t="s">
        <v>1584</v>
      </c>
      <c r="C43" s="64" t="s">
        <v>1417</v>
      </c>
      <c r="D43" s="65">
        <v>45940</v>
      </c>
      <c r="E43" s="64" t="s">
        <v>1564</v>
      </c>
    </row>
    <row r="44" spans="1:5" hidden="1">
      <c r="A44" s="64" t="s">
        <v>1585</v>
      </c>
      <c r="B44" s="64" t="s">
        <v>1377</v>
      </c>
      <c r="C44" s="64" t="s">
        <v>1417</v>
      </c>
      <c r="D44" s="65">
        <v>45940</v>
      </c>
      <c r="E44" s="64" t="s">
        <v>1564</v>
      </c>
    </row>
    <row r="45" spans="1:5" hidden="1">
      <c r="A45" s="64" t="s">
        <v>1586</v>
      </c>
      <c r="B45" s="64" t="s">
        <v>1373</v>
      </c>
      <c r="C45" s="64" t="s">
        <v>1417</v>
      </c>
      <c r="D45" s="65">
        <v>45940</v>
      </c>
      <c r="E45" s="64" t="s">
        <v>1564</v>
      </c>
    </row>
    <row r="46" spans="1:5" hidden="1">
      <c r="A46" s="64" t="s">
        <v>1588</v>
      </c>
      <c r="B46" s="64" t="s">
        <v>1405</v>
      </c>
      <c r="C46" s="64" t="s">
        <v>1417</v>
      </c>
      <c r="D46" s="65">
        <v>45940</v>
      </c>
      <c r="E46" s="64" t="s">
        <v>1564</v>
      </c>
    </row>
    <row r="47" spans="1:5" hidden="1">
      <c r="A47" s="64" t="s">
        <v>1589</v>
      </c>
      <c r="B47" s="64" t="s">
        <v>1590</v>
      </c>
      <c r="C47" s="64" t="s">
        <v>1417</v>
      </c>
      <c r="D47" s="65">
        <v>45940</v>
      </c>
      <c r="E47" s="64" t="s">
        <v>1564</v>
      </c>
    </row>
    <row r="48" spans="1:5" hidden="1">
      <c r="A48" s="64" t="s">
        <v>1591</v>
      </c>
      <c r="B48" s="64" t="s">
        <v>1363</v>
      </c>
      <c r="C48" s="64" t="s">
        <v>1417</v>
      </c>
      <c r="D48" s="65">
        <v>45940</v>
      </c>
      <c r="E48" s="64" t="s">
        <v>1564</v>
      </c>
    </row>
    <row r="49" spans="1:5" hidden="1">
      <c r="A49" s="64" t="s">
        <v>1592</v>
      </c>
      <c r="B49" s="64" t="s">
        <v>1360</v>
      </c>
      <c r="C49" s="64" t="s">
        <v>1417</v>
      </c>
      <c r="D49" s="65">
        <v>45940</v>
      </c>
      <c r="E49" s="64" t="s">
        <v>1564</v>
      </c>
    </row>
    <row r="50" spans="1:5" hidden="1">
      <c r="A50" s="64" t="s">
        <v>1593</v>
      </c>
      <c r="B50" s="64" t="s">
        <v>1358</v>
      </c>
      <c r="C50" s="64" t="s">
        <v>1417</v>
      </c>
      <c r="D50" s="65">
        <v>45940</v>
      </c>
      <c r="E50" s="64" t="s">
        <v>1564</v>
      </c>
    </row>
    <row r="51" spans="1:5" hidden="1">
      <c r="A51" s="64" t="s">
        <v>1594</v>
      </c>
      <c r="B51" s="64" t="s">
        <v>1358</v>
      </c>
      <c r="C51" s="64" t="s">
        <v>1417</v>
      </c>
      <c r="D51" s="65">
        <v>45940</v>
      </c>
      <c r="E51" s="64" t="s">
        <v>1564</v>
      </c>
    </row>
    <row r="52" spans="1:5" hidden="1">
      <c r="A52" s="64" t="s">
        <v>1556</v>
      </c>
      <c r="B52" s="64" t="s">
        <v>1366</v>
      </c>
      <c r="C52" s="64" t="s">
        <v>1367</v>
      </c>
      <c r="D52" s="65">
        <v>45940</v>
      </c>
      <c r="E52" s="64" t="s">
        <v>1564</v>
      </c>
    </row>
    <row r="53" spans="1:5" hidden="1">
      <c r="A53" s="64" t="s">
        <v>1557</v>
      </c>
      <c r="B53" s="64" t="s">
        <v>1563</v>
      </c>
      <c r="C53" s="64" t="s">
        <v>1367</v>
      </c>
      <c r="D53" s="65">
        <v>45940</v>
      </c>
      <c r="E53" s="64" t="s">
        <v>1564</v>
      </c>
    </row>
    <row r="54" spans="1:5" hidden="1">
      <c r="A54" s="64" t="s">
        <v>1565</v>
      </c>
      <c r="B54" s="64" t="s">
        <v>1371</v>
      </c>
      <c r="C54" s="64" t="s">
        <v>1367</v>
      </c>
      <c r="D54" s="65">
        <v>45940</v>
      </c>
      <c r="E54" s="64" t="s">
        <v>1564</v>
      </c>
    </row>
    <row r="55" spans="1:5" hidden="1">
      <c r="A55" s="64" t="s">
        <v>1566</v>
      </c>
      <c r="B55" s="64" t="s">
        <v>1369</v>
      </c>
      <c r="C55" s="64" t="s">
        <v>1367</v>
      </c>
      <c r="D55" s="65">
        <v>45940</v>
      </c>
      <c r="E55" s="64" t="s">
        <v>1564</v>
      </c>
    </row>
    <row r="56" spans="1:5" hidden="1">
      <c r="A56" s="64" t="s">
        <v>1567</v>
      </c>
      <c r="B56" s="64" t="s">
        <v>1375</v>
      </c>
      <c r="C56" s="64" t="s">
        <v>1367</v>
      </c>
      <c r="D56" s="65">
        <v>45940</v>
      </c>
      <c r="E56" s="64" t="s">
        <v>1564</v>
      </c>
    </row>
    <row r="57" spans="1:5" hidden="1">
      <c r="A57" s="64" t="s">
        <v>1568</v>
      </c>
      <c r="B57" s="64" t="s">
        <v>1403</v>
      </c>
      <c r="C57" s="64" t="s">
        <v>1367</v>
      </c>
      <c r="D57" s="65">
        <v>45940</v>
      </c>
      <c r="E57" s="64" t="s">
        <v>1564</v>
      </c>
    </row>
    <row r="58" spans="1:5" hidden="1">
      <c r="A58" s="64" t="s">
        <v>1569</v>
      </c>
      <c r="B58" s="64" t="s">
        <v>1379</v>
      </c>
      <c r="C58" s="64" t="s">
        <v>1367</v>
      </c>
      <c r="D58" s="65">
        <v>45940</v>
      </c>
      <c r="E58" s="64" t="s">
        <v>1564</v>
      </c>
    </row>
    <row r="59" spans="1:5" hidden="1">
      <c r="A59" s="64" t="s">
        <v>1572</v>
      </c>
      <c r="B59" s="64" t="s">
        <v>1366</v>
      </c>
      <c r="C59" s="64" t="s">
        <v>1367</v>
      </c>
      <c r="D59" s="65">
        <v>45940</v>
      </c>
      <c r="E59" s="64" t="s">
        <v>1564</v>
      </c>
    </row>
    <row r="60" spans="1:5" hidden="1">
      <c r="A60" s="64" t="s">
        <v>1573</v>
      </c>
      <c r="B60" s="64" t="s">
        <v>1391</v>
      </c>
      <c r="C60" s="64" t="s">
        <v>1367</v>
      </c>
      <c r="D60" s="65">
        <v>45940</v>
      </c>
      <c r="E60" s="64" t="s">
        <v>1564</v>
      </c>
    </row>
    <row r="61" spans="1:5" hidden="1">
      <c r="A61" s="64" t="s">
        <v>1575</v>
      </c>
      <c r="B61" s="64" t="s">
        <v>1576</v>
      </c>
      <c r="C61" s="64" t="s">
        <v>1367</v>
      </c>
      <c r="D61" s="65">
        <v>45940</v>
      </c>
      <c r="E61" s="64" t="s">
        <v>1564</v>
      </c>
    </row>
    <row r="62" spans="1:5" hidden="1">
      <c r="A62" s="64" t="s">
        <v>1577</v>
      </c>
      <c r="B62" s="64" t="s">
        <v>1388</v>
      </c>
      <c r="C62" s="64" t="s">
        <v>1367</v>
      </c>
      <c r="D62" s="65">
        <v>45940</v>
      </c>
      <c r="E62" s="64" t="s">
        <v>1564</v>
      </c>
    </row>
    <row r="63" spans="1:5" hidden="1">
      <c r="A63" s="64" t="s">
        <v>1578</v>
      </c>
      <c r="B63" s="64" t="s">
        <v>1410</v>
      </c>
      <c r="C63" s="64" t="s">
        <v>1367</v>
      </c>
      <c r="D63" s="65">
        <v>45940</v>
      </c>
      <c r="E63" s="64" t="s">
        <v>1564</v>
      </c>
    </row>
    <row r="64" spans="1:5" hidden="1">
      <c r="A64" s="64" t="s">
        <v>1581</v>
      </c>
      <c r="B64" s="64" t="s">
        <v>1582</v>
      </c>
      <c r="C64" s="64" t="s">
        <v>1367</v>
      </c>
      <c r="D64" s="65">
        <v>45940</v>
      </c>
      <c r="E64" s="64" t="s">
        <v>1564</v>
      </c>
    </row>
    <row r="65" spans="1:5" hidden="1">
      <c r="A65" s="64" t="s">
        <v>1587</v>
      </c>
      <c r="B65" s="64" t="s">
        <v>1408</v>
      </c>
      <c r="C65" s="64" t="s">
        <v>1367</v>
      </c>
      <c r="D65" s="65">
        <v>45940</v>
      </c>
      <c r="E65" s="64" t="s">
        <v>1564</v>
      </c>
    </row>
    <row r="66" spans="1:5" hidden="1">
      <c r="A66" s="64" t="s">
        <v>1543</v>
      </c>
      <c r="B66" s="64" t="s">
        <v>1544</v>
      </c>
      <c r="C66" s="64" t="s">
        <v>1417</v>
      </c>
      <c r="D66" s="65">
        <v>45940</v>
      </c>
      <c r="E66" s="64" t="s">
        <v>1542</v>
      </c>
    </row>
    <row r="67" spans="1:5" hidden="1">
      <c r="A67" s="64" t="s">
        <v>1545</v>
      </c>
      <c r="B67" s="64" t="s">
        <v>1366</v>
      </c>
      <c r="C67" s="64" t="s">
        <v>1367</v>
      </c>
      <c r="D67" s="65">
        <v>45940</v>
      </c>
      <c r="E67" s="64" t="s">
        <v>1542</v>
      </c>
    </row>
    <row r="68" spans="1:5" hidden="1">
      <c r="A68" s="64" t="s">
        <v>1546</v>
      </c>
      <c r="B68" s="64" t="s">
        <v>1366</v>
      </c>
      <c r="C68" s="64" t="s">
        <v>1367</v>
      </c>
      <c r="D68" s="65">
        <v>45940</v>
      </c>
      <c r="E68" s="64" t="s">
        <v>1542</v>
      </c>
    </row>
    <row r="69" spans="1:5" hidden="1">
      <c r="A69" s="64" t="s">
        <v>1547</v>
      </c>
      <c r="B69" s="64" t="s">
        <v>1375</v>
      </c>
      <c r="C69" s="64" t="s">
        <v>1367</v>
      </c>
      <c r="D69" s="65">
        <v>45940</v>
      </c>
      <c r="E69" s="64" t="s">
        <v>1542</v>
      </c>
    </row>
    <row r="70" spans="1:5" hidden="1">
      <c r="A70" s="64" t="s">
        <v>1548</v>
      </c>
      <c r="B70" s="64" t="s">
        <v>1371</v>
      </c>
      <c r="C70" s="64" t="s">
        <v>1367</v>
      </c>
      <c r="D70" s="65">
        <v>45940</v>
      </c>
      <c r="E70" s="64" t="s">
        <v>1542</v>
      </c>
    </row>
    <row r="71" spans="1:5" hidden="1">
      <c r="A71" s="64" t="s">
        <v>1549</v>
      </c>
      <c r="B71" s="64" t="s">
        <v>1366</v>
      </c>
      <c r="C71" s="64" t="s">
        <v>1367</v>
      </c>
      <c r="D71" s="65">
        <v>45940</v>
      </c>
      <c r="E71" s="64" t="s">
        <v>1542</v>
      </c>
    </row>
    <row r="72" spans="1:5" hidden="1">
      <c r="A72" s="64" t="s">
        <v>1550</v>
      </c>
      <c r="B72" s="64" t="s">
        <v>1371</v>
      </c>
      <c r="C72" s="64" t="s">
        <v>1367</v>
      </c>
      <c r="D72" s="65">
        <v>45940</v>
      </c>
      <c r="E72" s="64" t="s">
        <v>1542</v>
      </c>
    </row>
    <row r="73" spans="1:5" hidden="1">
      <c r="A73" s="64" t="s">
        <v>1551</v>
      </c>
      <c r="B73" s="64" t="s">
        <v>1379</v>
      </c>
      <c r="C73" s="64" t="s">
        <v>1367</v>
      </c>
      <c r="D73" s="65">
        <v>45940</v>
      </c>
      <c r="E73" s="64" t="s">
        <v>1542</v>
      </c>
    </row>
    <row r="74" spans="1:5" hidden="1">
      <c r="A74" s="64" t="s">
        <v>1552</v>
      </c>
      <c r="B74" s="64" t="s">
        <v>1366</v>
      </c>
      <c r="C74" s="64" t="s">
        <v>1367</v>
      </c>
      <c r="D74" s="65">
        <v>45940</v>
      </c>
      <c r="E74" s="64" t="s">
        <v>1542</v>
      </c>
    </row>
    <row r="75" spans="1:5" hidden="1">
      <c r="A75" s="64" t="s">
        <v>1553</v>
      </c>
      <c r="B75" s="64" t="s">
        <v>1379</v>
      </c>
      <c r="C75" s="64" t="s">
        <v>1367</v>
      </c>
      <c r="D75" s="65">
        <v>45940</v>
      </c>
      <c r="E75" s="64" t="s">
        <v>1542</v>
      </c>
    </row>
    <row r="76" spans="1:5" hidden="1">
      <c r="A76" s="64" t="s">
        <v>1554</v>
      </c>
      <c r="B76" s="64" t="s">
        <v>1379</v>
      </c>
      <c r="C76" s="64" t="s">
        <v>1367</v>
      </c>
      <c r="D76" s="65">
        <v>45940</v>
      </c>
      <c r="E76" s="64" t="s">
        <v>1542</v>
      </c>
    </row>
    <row r="77" spans="1:5" hidden="1">
      <c r="A77" s="64" t="s">
        <v>1555</v>
      </c>
      <c r="B77" s="64" t="s">
        <v>1403</v>
      </c>
      <c r="C77" s="64" t="s">
        <v>1367</v>
      </c>
      <c r="D77" s="65">
        <v>45940</v>
      </c>
      <c r="E77" s="64" t="s">
        <v>1542</v>
      </c>
    </row>
    <row r="78" spans="1:5" hidden="1">
      <c r="A78" s="64" t="s">
        <v>1722</v>
      </c>
      <c r="B78" s="64" t="s">
        <v>1373</v>
      </c>
      <c r="C78" s="64" t="s">
        <v>1417</v>
      </c>
      <c r="D78" s="65">
        <v>45941</v>
      </c>
      <c r="E78" s="64" t="s">
        <v>1564</v>
      </c>
    </row>
    <row r="79" spans="1:5" hidden="1">
      <c r="A79" s="64" t="s">
        <v>1724</v>
      </c>
      <c r="B79" s="64" t="s">
        <v>1383</v>
      </c>
      <c r="C79" s="64" t="s">
        <v>1417</v>
      </c>
      <c r="D79" s="65">
        <v>45941</v>
      </c>
      <c r="E79" s="64" t="s">
        <v>1564</v>
      </c>
    </row>
    <row r="80" spans="1:5" hidden="1">
      <c r="A80" s="64" t="s">
        <v>1727</v>
      </c>
      <c r="B80" s="64" t="s">
        <v>1385</v>
      </c>
      <c r="C80" s="64" t="s">
        <v>1417</v>
      </c>
      <c r="D80" s="65">
        <v>45941</v>
      </c>
      <c r="E80" s="64" t="s">
        <v>1564</v>
      </c>
    </row>
    <row r="81" spans="1:5" hidden="1">
      <c r="A81" s="64" t="s">
        <v>1728</v>
      </c>
      <c r="B81" s="64" t="s">
        <v>1377</v>
      </c>
      <c r="C81" s="64" t="s">
        <v>1417</v>
      </c>
      <c r="D81" s="65">
        <v>45941</v>
      </c>
      <c r="E81" s="64" t="s">
        <v>1564</v>
      </c>
    </row>
    <row r="82" spans="1:5" hidden="1">
      <c r="A82" s="64" t="s">
        <v>1730</v>
      </c>
      <c r="B82" s="64" t="s">
        <v>1390</v>
      </c>
      <c r="C82" s="64" t="s">
        <v>1417</v>
      </c>
      <c r="D82" s="65">
        <v>45941</v>
      </c>
      <c r="E82" s="64" t="s">
        <v>1564</v>
      </c>
    </row>
    <row r="83" spans="1:5" hidden="1">
      <c r="A83" s="64" t="s">
        <v>1732</v>
      </c>
      <c r="B83" s="64" t="s">
        <v>1734</v>
      </c>
      <c r="C83" s="64" t="s">
        <v>1417</v>
      </c>
      <c r="D83" s="65">
        <v>45941</v>
      </c>
      <c r="E83" s="64" t="s">
        <v>1564</v>
      </c>
    </row>
    <row r="84" spans="1:5" hidden="1">
      <c r="A84" s="64" t="s">
        <v>1735</v>
      </c>
      <c r="B84" s="64" t="s">
        <v>1399</v>
      </c>
      <c r="C84" s="64" t="s">
        <v>1417</v>
      </c>
      <c r="D84" s="65">
        <v>45941</v>
      </c>
      <c r="E84" s="64" t="s">
        <v>1564</v>
      </c>
    </row>
    <row r="85" spans="1:5" hidden="1">
      <c r="A85" s="64" t="s">
        <v>1736</v>
      </c>
      <c r="B85" s="64" t="s">
        <v>1584</v>
      </c>
      <c r="C85" s="64" t="s">
        <v>1417</v>
      </c>
      <c r="D85" s="65">
        <v>45941</v>
      </c>
      <c r="E85" s="64" t="s">
        <v>1564</v>
      </c>
    </row>
    <row r="86" spans="1:5" hidden="1">
      <c r="A86" s="64" t="s">
        <v>1739</v>
      </c>
      <c r="B86" s="64" t="s">
        <v>1405</v>
      </c>
      <c r="C86" s="64" t="s">
        <v>1417</v>
      </c>
      <c r="D86" s="65">
        <v>45941</v>
      </c>
      <c r="E86" s="64" t="s">
        <v>1564</v>
      </c>
    </row>
    <row r="87" spans="1:5" hidden="1">
      <c r="A87" s="64" t="s">
        <v>1741</v>
      </c>
      <c r="B87" s="64" t="s">
        <v>1414</v>
      </c>
      <c r="C87" s="64" t="s">
        <v>1417</v>
      </c>
      <c r="D87" s="65">
        <v>45941</v>
      </c>
      <c r="E87" s="64" t="s">
        <v>1564</v>
      </c>
    </row>
    <row r="88" spans="1:5" hidden="1">
      <c r="A88" s="64" t="s">
        <v>1742</v>
      </c>
      <c r="B88" s="64" t="s">
        <v>1360</v>
      </c>
      <c r="C88" s="64" t="s">
        <v>1417</v>
      </c>
      <c r="D88" s="65">
        <v>45941</v>
      </c>
      <c r="E88" s="64" t="s">
        <v>1564</v>
      </c>
    </row>
    <row r="89" spans="1:5" hidden="1">
      <c r="A89" s="64" t="s">
        <v>1744</v>
      </c>
      <c r="B89" s="64" t="s">
        <v>1363</v>
      </c>
      <c r="C89" s="64" t="s">
        <v>1417</v>
      </c>
      <c r="D89" s="65">
        <v>45941</v>
      </c>
      <c r="E89" s="64" t="s">
        <v>1564</v>
      </c>
    </row>
    <row r="90" spans="1:5" hidden="1">
      <c r="A90" s="64" t="s">
        <v>1745</v>
      </c>
      <c r="B90" s="64" t="s">
        <v>1746</v>
      </c>
      <c r="C90" s="64" t="s">
        <v>1417</v>
      </c>
      <c r="D90" s="65">
        <v>45941</v>
      </c>
      <c r="E90" s="64" t="s">
        <v>1564</v>
      </c>
    </row>
    <row r="91" spans="1:5" hidden="1">
      <c r="A91" s="64" t="s">
        <v>1748</v>
      </c>
      <c r="B91" s="64" t="s">
        <v>1410</v>
      </c>
      <c r="C91" s="64" t="s">
        <v>1417</v>
      </c>
      <c r="D91" s="65">
        <v>45941</v>
      </c>
      <c r="E91" s="64" t="s">
        <v>1564</v>
      </c>
    </row>
    <row r="92" spans="1:5" hidden="1">
      <c r="A92" s="64" t="s">
        <v>1749</v>
      </c>
      <c r="B92" s="64" t="s">
        <v>1401</v>
      </c>
      <c r="C92" s="64" t="s">
        <v>1417</v>
      </c>
      <c r="D92" s="65">
        <v>45941</v>
      </c>
      <c r="E92" s="64" t="s">
        <v>1564</v>
      </c>
    </row>
    <row r="93" spans="1:5" hidden="1">
      <c r="A93" s="64" t="s">
        <v>1750</v>
      </c>
      <c r="B93" s="64" t="s">
        <v>1358</v>
      </c>
      <c r="C93" s="64" t="s">
        <v>1417</v>
      </c>
      <c r="D93" s="65">
        <v>45941</v>
      </c>
      <c r="E93" s="64" t="s">
        <v>1564</v>
      </c>
    </row>
    <row r="94" spans="1:5" hidden="1">
      <c r="A94" s="64" t="s">
        <v>1751</v>
      </c>
      <c r="B94" s="64" t="s">
        <v>1363</v>
      </c>
      <c r="C94" s="64" t="s">
        <v>1417</v>
      </c>
      <c r="D94" s="65">
        <v>45941</v>
      </c>
      <c r="E94" s="64" t="s">
        <v>1564</v>
      </c>
    </row>
    <row r="95" spans="1:5" hidden="1">
      <c r="A95" s="64" t="s">
        <v>1723</v>
      </c>
      <c r="B95" s="64" t="s">
        <v>1369</v>
      </c>
      <c r="C95" s="64" t="s">
        <v>1367</v>
      </c>
      <c r="D95" s="65">
        <v>45941</v>
      </c>
      <c r="E95" s="64" t="s">
        <v>1564</v>
      </c>
    </row>
    <row r="96" spans="1:5" hidden="1">
      <c r="A96" s="64" t="s">
        <v>1725</v>
      </c>
      <c r="B96" s="64" t="s">
        <v>1379</v>
      </c>
      <c r="C96" s="64" t="s">
        <v>1367</v>
      </c>
      <c r="D96" s="65">
        <v>45941</v>
      </c>
      <c r="E96" s="64" t="s">
        <v>1564</v>
      </c>
    </row>
    <row r="97" spans="1:5" hidden="1">
      <c r="A97" s="64" t="s">
        <v>1726</v>
      </c>
      <c r="B97" s="64" t="s">
        <v>1375</v>
      </c>
      <c r="C97" s="64" t="s">
        <v>1367</v>
      </c>
      <c r="D97" s="65">
        <v>45941</v>
      </c>
      <c r="E97" s="64" t="s">
        <v>1564</v>
      </c>
    </row>
    <row r="98" spans="1:5" hidden="1">
      <c r="A98" s="64" t="s">
        <v>1729</v>
      </c>
      <c r="B98" s="64" t="s">
        <v>1388</v>
      </c>
      <c r="C98" s="64" t="s">
        <v>1367</v>
      </c>
      <c r="D98" s="65">
        <v>45941</v>
      </c>
      <c r="E98" s="64" t="s">
        <v>1564</v>
      </c>
    </row>
    <row r="99" spans="1:5" hidden="1">
      <c r="A99" s="64" t="s">
        <v>1731</v>
      </c>
      <c r="B99" s="64" t="s">
        <v>1391</v>
      </c>
      <c r="C99" s="64" t="s">
        <v>1367</v>
      </c>
      <c r="D99" s="65">
        <v>45941</v>
      </c>
      <c r="E99" s="64" t="s">
        <v>1564</v>
      </c>
    </row>
    <row r="100" spans="1:5" hidden="1">
      <c r="A100" s="64" t="s">
        <v>1733</v>
      </c>
      <c r="B100" s="64" t="s">
        <v>1408</v>
      </c>
      <c r="C100" s="64" t="s">
        <v>1367</v>
      </c>
      <c r="D100" s="65">
        <v>45941</v>
      </c>
      <c r="E100" s="64" t="s">
        <v>1564</v>
      </c>
    </row>
    <row r="101" spans="1:5" hidden="1">
      <c r="A101" s="64" t="s">
        <v>1737</v>
      </c>
      <c r="B101" s="64" t="s">
        <v>1738</v>
      </c>
      <c r="C101" s="64" t="s">
        <v>1367</v>
      </c>
      <c r="D101" s="65">
        <v>45941</v>
      </c>
      <c r="E101" s="64" t="s">
        <v>1564</v>
      </c>
    </row>
    <row r="102" spans="1:5" hidden="1">
      <c r="A102" s="64" t="s">
        <v>1740</v>
      </c>
      <c r="B102" s="64" t="s">
        <v>1403</v>
      </c>
      <c r="C102" s="64" t="s">
        <v>1367</v>
      </c>
      <c r="D102" s="65">
        <v>45941</v>
      </c>
      <c r="E102" s="64" t="s">
        <v>1564</v>
      </c>
    </row>
    <row r="103" spans="1:5" hidden="1">
      <c r="A103" s="64" t="s">
        <v>1743</v>
      </c>
      <c r="B103" s="64" t="s">
        <v>1371</v>
      </c>
      <c r="C103" s="64" t="s">
        <v>1367</v>
      </c>
      <c r="D103" s="65">
        <v>45941</v>
      </c>
      <c r="E103" s="64" t="s">
        <v>1564</v>
      </c>
    </row>
    <row r="104" spans="1:5" hidden="1">
      <c r="A104" s="64" t="s">
        <v>1747</v>
      </c>
      <c r="B104" s="64" t="s">
        <v>1366</v>
      </c>
      <c r="C104" s="64" t="s">
        <v>1367</v>
      </c>
      <c r="D104" s="65">
        <v>45941</v>
      </c>
      <c r="E104" s="64" t="s">
        <v>1564</v>
      </c>
    </row>
    <row r="105" spans="1:5" hidden="1">
      <c r="A105" s="64" t="s">
        <v>1707</v>
      </c>
      <c r="B105" s="64" t="s">
        <v>1371</v>
      </c>
      <c r="C105" s="64" t="s">
        <v>1367</v>
      </c>
      <c r="D105" s="65">
        <v>45941</v>
      </c>
      <c r="E105" s="64" t="s">
        <v>1542</v>
      </c>
    </row>
    <row r="106" spans="1:5" hidden="1">
      <c r="A106" s="64" t="s">
        <v>1708</v>
      </c>
      <c r="B106" s="64" t="s">
        <v>1371</v>
      </c>
      <c r="C106" s="64" t="s">
        <v>1367</v>
      </c>
      <c r="D106" s="65">
        <v>45941</v>
      </c>
      <c r="E106" s="64" t="s">
        <v>1542</v>
      </c>
    </row>
    <row r="107" spans="1:5" hidden="1">
      <c r="A107" s="64" t="s">
        <v>1709</v>
      </c>
      <c r="B107" s="64" t="s">
        <v>1366</v>
      </c>
      <c r="C107" s="64" t="s">
        <v>1367</v>
      </c>
      <c r="D107" s="65">
        <v>45941</v>
      </c>
      <c r="E107" s="64" t="s">
        <v>1542</v>
      </c>
    </row>
    <row r="108" spans="1:5" hidden="1">
      <c r="A108" s="64" t="s">
        <v>1715</v>
      </c>
      <c r="B108" s="64" t="s">
        <v>1385</v>
      </c>
      <c r="C108" s="64" t="s">
        <v>1417</v>
      </c>
      <c r="D108" s="65">
        <v>45941</v>
      </c>
      <c r="E108" s="64" t="s">
        <v>1542</v>
      </c>
    </row>
    <row r="109" spans="1:5" hidden="1">
      <c r="A109" s="64" t="s">
        <v>1710</v>
      </c>
      <c r="B109" s="64" t="s">
        <v>1371</v>
      </c>
      <c r="C109" s="64" t="s">
        <v>1367</v>
      </c>
      <c r="D109" s="65">
        <v>45941</v>
      </c>
      <c r="E109" s="64" t="s">
        <v>1542</v>
      </c>
    </row>
    <row r="110" spans="1:5" hidden="1">
      <c r="A110" s="64" t="s">
        <v>1711</v>
      </c>
      <c r="B110" s="64" t="s">
        <v>1375</v>
      </c>
      <c r="C110" s="64" t="s">
        <v>1367</v>
      </c>
      <c r="D110" s="65">
        <v>45941</v>
      </c>
      <c r="E110" s="64" t="s">
        <v>1542</v>
      </c>
    </row>
    <row r="111" spans="1:5" hidden="1">
      <c r="A111" s="64" t="s">
        <v>1712</v>
      </c>
      <c r="B111" s="64" t="s">
        <v>1371</v>
      </c>
      <c r="C111" s="64" t="s">
        <v>1367</v>
      </c>
      <c r="D111" s="65">
        <v>45941</v>
      </c>
      <c r="E111" s="64" t="s">
        <v>1542</v>
      </c>
    </row>
    <row r="112" spans="1:5" hidden="1">
      <c r="A112" s="64" t="s">
        <v>1713</v>
      </c>
      <c r="B112" s="64" t="s">
        <v>1383</v>
      </c>
      <c r="C112" s="64" t="s">
        <v>1417</v>
      </c>
      <c r="D112" s="65">
        <v>45941</v>
      </c>
      <c r="E112" s="64" t="s">
        <v>1542</v>
      </c>
    </row>
    <row r="113" spans="1:5" hidden="1">
      <c r="A113" s="64" t="s">
        <v>1714</v>
      </c>
      <c r="B113" s="64" t="s">
        <v>1371</v>
      </c>
      <c r="C113" s="64" t="s">
        <v>1367</v>
      </c>
      <c r="D113" s="65">
        <v>45941</v>
      </c>
      <c r="E113" s="64" t="s">
        <v>1542</v>
      </c>
    </row>
    <row r="114" spans="1:5" hidden="1">
      <c r="A114" s="64" t="s">
        <v>1716</v>
      </c>
      <c r="B114" s="64" t="s">
        <v>1371</v>
      </c>
      <c r="C114" s="64" t="s">
        <v>1367</v>
      </c>
      <c r="D114" s="65">
        <v>45941</v>
      </c>
      <c r="E114" s="64" t="s">
        <v>1542</v>
      </c>
    </row>
    <row r="115" spans="1:5" hidden="1">
      <c r="A115" s="64" t="s">
        <v>1717</v>
      </c>
      <c r="B115" s="64" t="s">
        <v>1366</v>
      </c>
      <c r="C115" s="64" t="s">
        <v>1367</v>
      </c>
      <c r="D115" s="65">
        <v>45941</v>
      </c>
      <c r="E115" s="64" t="s">
        <v>1542</v>
      </c>
    </row>
    <row r="116" spans="1:5" hidden="1">
      <c r="A116" s="64" t="s">
        <v>1718</v>
      </c>
      <c r="B116" s="64" t="s">
        <v>1366</v>
      </c>
      <c r="C116" s="64" t="s">
        <v>1367</v>
      </c>
      <c r="D116" s="65">
        <v>45941</v>
      </c>
      <c r="E116" s="64" t="s">
        <v>1542</v>
      </c>
    </row>
    <row r="117" spans="1:5" hidden="1">
      <c r="A117" s="64" t="s">
        <v>1719</v>
      </c>
      <c r="B117" s="64" t="s">
        <v>1403</v>
      </c>
      <c r="C117" s="64" t="s">
        <v>1367</v>
      </c>
      <c r="D117" s="65">
        <v>45941</v>
      </c>
      <c r="E117" s="64" t="s">
        <v>1542</v>
      </c>
    </row>
    <row r="118" spans="1:5" hidden="1">
      <c r="A118" s="64" t="s">
        <v>1720</v>
      </c>
      <c r="B118" s="64" t="s">
        <v>1366</v>
      </c>
      <c r="C118" s="64" t="s">
        <v>1367</v>
      </c>
      <c r="D118" s="65">
        <v>45941</v>
      </c>
      <c r="E118" s="64" t="s">
        <v>1542</v>
      </c>
    </row>
    <row r="119" spans="1:5" hidden="1">
      <c r="A119" s="67" t="s">
        <v>1721</v>
      </c>
      <c r="B119" s="67" t="s">
        <v>1371</v>
      </c>
      <c r="C119" s="67" t="s">
        <v>1367</v>
      </c>
      <c r="D119" s="68">
        <v>45941</v>
      </c>
      <c r="E119" s="67" t="s">
        <v>1542</v>
      </c>
    </row>
    <row r="120" spans="1:5" hidden="1">
      <c r="A120" s="64" t="s">
        <v>1802</v>
      </c>
      <c r="B120" s="64" t="s">
        <v>1395</v>
      </c>
      <c r="C120" s="64" t="s">
        <v>1417</v>
      </c>
      <c r="D120" s="65">
        <v>45942</v>
      </c>
      <c r="E120" s="64" t="s">
        <v>1564</v>
      </c>
    </row>
    <row r="121" spans="1:5" hidden="1">
      <c r="A121" s="64" t="s">
        <v>1780</v>
      </c>
      <c r="B121" s="64" t="s">
        <v>1377</v>
      </c>
      <c r="C121" s="64" t="s">
        <v>1417</v>
      </c>
      <c r="D121" s="65">
        <v>45942</v>
      </c>
      <c r="E121" s="64" t="s">
        <v>1564</v>
      </c>
    </row>
    <row r="122" spans="1:5" hidden="1">
      <c r="A122" s="64" t="s">
        <v>1791</v>
      </c>
      <c r="B122" s="64" t="s">
        <v>1792</v>
      </c>
      <c r="C122" s="64" t="s">
        <v>1417</v>
      </c>
      <c r="D122" s="65">
        <v>45942</v>
      </c>
      <c r="E122" s="64" t="s">
        <v>1564</v>
      </c>
    </row>
    <row r="123" spans="1:5" hidden="1">
      <c r="A123" s="64" t="s">
        <v>1794</v>
      </c>
      <c r="B123" s="64" t="s">
        <v>1544</v>
      </c>
      <c r="C123" s="64" t="s">
        <v>1417</v>
      </c>
      <c r="D123" s="65">
        <v>45942</v>
      </c>
      <c r="E123" s="64" t="s">
        <v>1564</v>
      </c>
    </row>
    <row r="124" spans="1:5" hidden="1">
      <c r="A124" s="64" t="s">
        <v>1810</v>
      </c>
      <c r="B124" s="64" t="s">
        <v>1360</v>
      </c>
      <c r="C124" s="64" t="s">
        <v>1417</v>
      </c>
      <c r="D124" s="65">
        <v>45942</v>
      </c>
      <c r="E124" s="64" t="s">
        <v>1564</v>
      </c>
    </row>
    <row r="125" spans="1:5" hidden="1">
      <c r="A125" s="64" t="s">
        <v>1795</v>
      </c>
      <c r="B125" s="64" t="s">
        <v>1381</v>
      </c>
      <c r="C125" s="64" t="s">
        <v>1417</v>
      </c>
      <c r="D125" s="65">
        <v>45942</v>
      </c>
      <c r="E125" s="64" t="s">
        <v>1564</v>
      </c>
    </row>
    <row r="126" spans="1:5" hidden="1">
      <c r="A126" s="64" t="s">
        <v>1786</v>
      </c>
      <c r="B126" s="64" t="s">
        <v>1399</v>
      </c>
      <c r="C126" s="64" t="s">
        <v>1417</v>
      </c>
      <c r="D126" s="65">
        <v>45942</v>
      </c>
      <c r="E126" s="64" t="s">
        <v>1564</v>
      </c>
    </row>
    <row r="127" spans="1:5" hidden="1">
      <c r="A127" s="64" t="s">
        <v>1782</v>
      </c>
      <c r="B127" s="64" t="s">
        <v>1385</v>
      </c>
      <c r="C127" s="64" t="s">
        <v>1417</v>
      </c>
      <c r="D127" s="65">
        <v>45942</v>
      </c>
      <c r="E127" s="64" t="s">
        <v>1564</v>
      </c>
    </row>
    <row r="128" spans="1:5" hidden="1">
      <c r="A128" s="64" t="s">
        <v>1772</v>
      </c>
      <c r="B128" s="64" t="s">
        <v>1358</v>
      </c>
      <c r="C128" s="64" t="s">
        <v>1417</v>
      </c>
      <c r="D128" s="65">
        <v>45942</v>
      </c>
      <c r="E128" s="64" t="s">
        <v>1564</v>
      </c>
    </row>
    <row r="129" spans="1:5" hidden="1">
      <c r="A129" s="64" t="s">
        <v>1809</v>
      </c>
      <c r="B129" s="64" t="s">
        <v>1358</v>
      </c>
      <c r="C129" s="64" t="s">
        <v>1417</v>
      </c>
      <c r="D129" s="65">
        <v>45942</v>
      </c>
      <c r="E129" s="64" t="s">
        <v>1564</v>
      </c>
    </row>
    <row r="130" spans="1:5" hidden="1">
      <c r="A130" s="64" t="s">
        <v>1776</v>
      </c>
      <c r="B130" s="64" t="s">
        <v>1397</v>
      </c>
      <c r="C130" s="64" t="s">
        <v>1417</v>
      </c>
      <c r="D130" s="65">
        <v>45942</v>
      </c>
      <c r="E130" s="64" t="s">
        <v>1564</v>
      </c>
    </row>
    <row r="131" spans="1:5" hidden="1">
      <c r="A131" s="64" t="s">
        <v>1805</v>
      </c>
      <c r="B131" s="64" t="s">
        <v>1414</v>
      </c>
      <c r="C131" s="64" t="s">
        <v>1417</v>
      </c>
      <c r="D131" s="65">
        <v>45942</v>
      </c>
      <c r="E131" s="64" t="s">
        <v>1564</v>
      </c>
    </row>
    <row r="132" spans="1:5" hidden="1">
      <c r="A132" s="64" t="s">
        <v>1797</v>
      </c>
      <c r="B132" s="64" t="s">
        <v>1401</v>
      </c>
      <c r="C132" s="64" t="s">
        <v>1417</v>
      </c>
      <c r="D132" s="65">
        <v>45942</v>
      </c>
      <c r="E132" s="64" t="s">
        <v>1564</v>
      </c>
    </row>
    <row r="133" spans="1:5" hidden="1">
      <c r="A133" s="64" t="s">
        <v>1807</v>
      </c>
      <c r="B133" s="64" t="s">
        <v>1416</v>
      </c>
      <c r="C133" s="64" t="s">
        <v>1417</v>
      </c>
      <c r="D133" s="65">
        <v>45942</v>
      </c>
      <c r="E133" s="64" t="s">
        <v>1564</v>
      </c>
    </row>
    <row r="134" spans="1:5" hidden="1">
      <c r="A134" s="64" t="s">
        <v>1783</v>
      </c>
      <c r="B134" s="64" t="s">
        <v>1405</v>
      </c>
      <c r="C134" s="64" t="s">
        <v>1417</v>
      </c>
      <c r="D134" s="65">
        <v>45942</v>
      </c>
      <c r="E134" s="64" t="s">
        <v>1564</v>
      </c>
    </row>
    <row r="135" spans="1:5" hidden="1">
      <c r="A135" s="64" t="s">
        <v>1787</v>
      </c>
      <c r="B135" s="64" t="s">
        <v>1405</v>
      </c>
      <c r="C135" s="64" t="s">
        <v>1417</v>
      </c>
      <c r="D135" s="65">
        <v>45942</v>
      </c>
      <c r="E135" s="64" t="s">
        <v>1564</v>
      </c>
    </row>
    <row r="136" spans="1:5" hidden="1">
      <c r="A136" s="64" t="s">
        <v>1798</v>
      </c>
      <c r="B136" s="64" t="s">
        <v>1405</v>
      </c>
      <c r="C136" s="64" t="s">
        <v>1417</v>
      </c>
      <c r="D136" s="65">
        <v>45942</v>
      </c>
      <c r="E136" s="64" t="s">
        <v>1564</v>
      </c>
    </row>
    <row r="137" spans="1:5" hidden="1">
      <c r="A137" s="64" t="s">
        <v>1777</v>
      </c>
      <c r="B137" s="64" t="s">
        <v>1363</v>
      </c>
      <c r="C137" s="64" t="s">
        <v>1417</v>
      </c>
      <c r="D137" s="65">
        <v>45942</v>
      </c>
      <c r="E137" s="64" t="s">
        <v>1564</v>
      </c>
    </row>
    <row r="138" spans="1:5" hidden="1">
      <c r="A138" s="64" t="s">
        <v>1800</v>
      </c>
      <c r="B138" s="64" t="s">
        <v>1363</v>
      </c>
      <c r="C138" s="64" t="s">
        <v>1417</v>
      </c>
      <c r="D138" s="65">
        <v>45942</v>
      </c>
      <c r="E138" s="64" t="s">
        <v>1564</v>
      </c>
    </row>
    <row r="139" spans="1:5" hidden="1">
      <c r="A139" s="64" t="s">
        <v>1789</v>
      </c>
      <c r="B139" s="64" t="s">
        <v>1790</v>
      </c>
      <c r="C139" s="64" t="s">
        <v>1417</v>
      </c>
      <c r="D139" s="65">
        <v>45942</v>
      </c>
      <c r="E139" s="64" t="s">
        <v>1564</v>
      </c>
    </row>
    <row r="140" spans="1:5" hidden="1">
      <c r="A140" s="64" t="s">
        <v>1801</v>
      </c>
      <c r="B140" s="64" t="s">
        <v>1383</v>
      </c>
      <c r="C140" s="64" t="s">
        <v>1417</v>
      </c>
      <c r="D140" s="65">
        <v>45942</v>
      </c>
      <c r="E140" s="64" t="s">
        <v>1564</v>
      </c>
    </row>
    <row r="141" spans="1:5" hidden="1">
      <c r="A141" s="64" t="s">
        <v>1803</v>
      </c>
      <c r="B141" s="64" t="s">
        <v>1584</v>
      </c>
      <c r="C141" s="64" t="s">
        <v>1417</v>
      </c>
      <c r="D141" s="65">
        <v>45942</v>
      </c>
      <c r="E141" s="64" t="s">
        <v>1564</v>
      </c>
    </row>
    <row r="142" spans="1:5" hidden="1">
      <c r="A142" s="64" t="s">
        <v>1771</v>
      </c>
      <c r="B142" s="64" t="s">
        <v>1590</v>
      </c>
      <c r="C142" s="64" t="s">
        <v>1417</v>
      </c>
      <c r="D142" s="65">
        <v>45942</v>
      </c>
      <c r="E142" s="64" t="s">
        <v>1564</v>
      </c>
    </row>
    <row r="143" spans="1:5" hidden="1">
      <c r="A143" s="64" t="s">
        <v>1785</v>
      </c>
      <c r="B143" s="64" t="s">
        <v>1410</v>
      </c>
      <c r="C143" s="64" t="s">
        <v>1417</v>
      </c>
      <c r="D143" s="65">
        <v>45942</v>
      </c>
      <c r="E143" s="64" t="s">
        <v>1564</v>
      </c>
    </row>
    <row r="144" spans="1:5" hidden="1">
      <c r="A144" s="64" t="s">
        <v>1773</v>
      </c>
      <c r="B144" s="64" t="s">
        <v>1373</v>
      </c>
      <c r="C144" s="64" t="s">
        <v>1417</v>
      </c>
      <c r="D144" s="65">
        <v>45942</v>
      </c>
      <c r="E144" s="64" t="s">
        <v>1564</v>
      </c>
    </row>
    <row r="145" spans="1:5" hidden="1">
      <c r="A145" s="64" t="s">
        <v>1781</v>
      </c>
      <c r="B145" s="64" t="s">
        <v>1373</v>
      </c>
      <c r="C145" s="64" t="s">
        <v>1417</v>
      </c>
      <c r="D145" s="65">
        <v>45942</v>
      </c>
      <c r="E145" s="64" t="s">
        <v>1564</v>
      </c>
    </row>
    <row r="146" spans="1:5" hidden="1">
      <c r="A146" s="64" t="s">
        <v>1784</v>
      </c>
      <c r="B146" s="64" t="s">
        <v>1375</v>
      </c>
      <c r="C146" s="64" t="s">
        <v>1367</v>
      </c>
      <c r="D146" s="65">
        <v>45942</v>
      </c>
      <c r="E146" s="64" t="s">
        <v>1564</v>
      </c>
    </row>
    <row r="147" spans="1:5" hidden="1">
      <c r="A147" s="64" t="s">
        <v>1793</v>
      </c>
      <c r="B147" s="64" t="s">
        <v>1408</v>
      </c>
      <c r="C147" s="64" t="s">
        <v>1367</v>
      </c>
      <c r="D147" s="65">
        <v>45942</v>
      </c>
      <c r="E147" s="64" t="s">
        <v>1564</v>
      </c>
    </row>
    <row r="148" spans="1:5" hidden="1">
      <c r="A148" s="64" t="s">
        <v>1808</v>
      </c>
      <c r="B148" s="64" t="s">
        <v>1379</v>
      </c>
      <c r="C148" s="64" t="s">
        <v>1367</v>
      </c>
      <c r="D148" s="65">
        <v>45942</v>
      </c>
      <c r="E148" s="64" t="s">
        <v>1564</v>
      </c>
    </row>
    <row r="149" spans="1:5" hidden="1">
      <c r="A149" s="64" t="s">
        <v>1788</v>
      </c>
      <c r="B149" s="64" t="s">
        <v>1388</v>
      </c>
      <c r="C149" s="64" t="s">
        <v>1367</v>
      </c>
      <c r="D149" s="65">
        <v>45942</v>
      </c>
      <c r="E149" s="64" t="s">
        <v>1564</v>
      </c>
    </row>
    <row r="150" spans="1:5" hidden="1">
      <c r="A150" s="64" t="s">
        <v>1778</v>
      </c>
      <c r="B150" s="64" t="s">
        <v>1366</v>
      </c>
      <c r="C150" s="64" t="s">
        <v>1367</v>
      </c>
      <c r="D150" s="65">
        <v>45942</v>
      </c>
      <c r="E150" s="64" t="s">
        <v>1564</v>
      </c>
    </row>
    <row r="151" spans="1:5" hidden="1">
      <c r="A151" s="64" t="s">
        <v>1806</v>
      </c>
      <c r="B151" s="64" t="s">
        <v>1366</v>
      </c>
      <c r="C151" s="64" t="s">
        <v>1367</v>
      </c>
      <c r="D151" s="65">
        <v>45942</v>
      </c>
      <c r="E151" s="64" t="s">
        <v>1564</v>
      </c>
    </row>
    <row r="152" spans="1:5" hidden="1">
      <c r="A152" s="64" t="s">
        <v>1774</v>
      </c>
      <c r="B152" s="64" t="s">
        <v>1371</v>
      </c>
      <c r="C152" s="64" t="s">
        <v>1367</v>
      </c>
      <c r="D152" s="65">
        <v>45942</v>
      </c>
      <c r="E152" s="64" t="s">
        <v>1564</v>
      </c>
    </row>
    <row r="153" spans="1:5" hidden="1">
      <c r="A153" s="64" t="s">
        <v>1775</v>
      </c>
      <c r="B153" s="64" t="s">
        <v>1371</v>
      </c>
      <c r="C153" s="64" t="s">
        <v>1367</v>
      </c>
      <c r="D153" s="65">
        <v>45942</v>
      </c>
      <c r="E153" s="64" t="s">
        <v>1564</v>
      </c>
    </row>
    <row r="154" spans="1:5" hidden="1">
      <c r="A154" s="64" t="s">
        <v>1796</v>
      </c>
      <c r="B154" s="64" t="s">
        <v>1371</v>
      </c>
      <c r="C154" s="64" t="s">
        <v>1367</v>
      </c>
      <c r="D154" s="65">
        <v>45942</v>
      </c>
      <c r="E154" s="64" t="s">
        <v>1564</v>
      </c>
    </row>
    <row r="155" spans="1:5" hidden="1">
      <c r="A155" s="64" t="s">
        <v>1799</v>
      </c>
      <c r="B155" s="64" t="s">
        <v>1403</v>
      </c>
      <c r="C155" s="64" t="s">
        <v>1367</v>
      </c>
      <c r="D155" s="65">
        <v>45942</v>
      </c>
      <c r="E155" s="64" t="s">
        <v>1564</v>
      </c>
    </row>
    <row r="156" spans="1:5" hidden="1">
      <c r="A156" s="64" t="s">
        <v>1779</v>
      </c>
      <c r="B156" s="64" t="s">
        <v>1369</v>
      </c>
      <c r="C156" s="64" t="s">
        <v>1367</v>
      </c>
      <c r="D156" s="65">
        <v>45942</v>
      </c>
      <c r="E156" s="64" t="s">
        <v>1564</v>
      </c>
    </row>
    <row r="157" spans="1:5" hidden="1">
      <c r="A157" s="64" t="s">
        <v>1804</v>
      </c>
      <c r="B157" s="64" t="s">
        <v>1393</v>
      </c>
      <c r="C157" s="64" t="s">
        <v>1367</v>
      </c>
      <c r="D157" s="65">
        <v>45942</v>
      </c>
      <c r="E157" s="64" t="s">
        <v>1564</v>
      </c>
    </row>
    <row r="158" spans="1:5">
      <c r="D158" s="65">
        <v>45954</v>
      </c>
      <c r="E158" s="84" t="s">
        <v>1564</v>
      </c>
    </row>
  </sheetData>
  <autoFilter ref="A1:E158" xr:uid="{A2A1CC2E-3B5C-4CC9-B0DB-77B023A823EF}">
    <filterColumn colId="3">
      <filters>
        <dateGroupItem year="2025" month="10" day="24" dateTimeGrouping="day"/>
      </filters>
    </filterColumn>
    <sortState xmlns:xlrd2="http://schemas.microsoft.com/office/spreadsheetml/2017/richdata2" ref="A2:E158">
      <sortCondition ref="D1:D158"/>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18E5-6E0A-47FB-9CDD-85EC0D6270ED}">
  <sheetPr filterMode="1"/>
  <dimension ref="A1:L1647"/>
  <sheetViews>
    <sheetView workbookViewId="0">
      <selection activeCell="A1543" sqref="A1543"/>
    </sheetView>
  </sheetViews>
  <sheetFormatPr defaultRowHeight="15"/>
  <cols>
    <col min="1" max="1" width="14.5703125" bestFit="1" customWidth="1"/>
    <col min="2" max="2" width="10" bestFit="1" customWidth="1"/>
    <col min="3" max="3" width="13.5703125" bestFit="1" customWidth="1"/>
    <col min="4" max="4" width="19.5703125" bestFit="1" customWidth="1"/>
    <col min="5" max="5" width="10.42578125" bestFit="1" customWidth="1"/>
    <col min="9" max="9" width="11" bestFit="1" customWidth="1"/>
    <col min="10" max="10" width="13.85546875" bestFit="1" customWidth="1"/>
    <col min="12" max="12" width="15" bestFit="1" customWidth="1"/>
  </cols>
  <sheetData>
    <row r="1" spans="1:12">
      <c r="A1" t="s">
        <v>337</v>
      </c>
      <c r="B1" t="s">
        <v>603</v>
      </c>
      <c r="C1" t="s">
        <v>338</v>
      </c>
      <c r="D1" t="s">
        <v>606</v>
      </c>
      <c r="E1" t="s">
        <v>14</v>
      </c>
      <c r="J1" t="s">
        <v>607</v>
      </c>
    </row>
    <row r="2" spans="1:12" hidden="1">
      <c r="A2" t="s">
        <v>1146</v>
      </c>
      <c r="B2">
        <v>10827670</v>
      </c>
      <c r="C2" s="60">
        <v>45931</v>
      </c>
      <c r="D2" t="s">
        <v>1167</v>
      </c>
      <c r="E2">
        <v>0</v>
      </c>
      <c r="I2">
        <v>7510767596</v>
      </c>
      <c r="J2">
        <v>510767596</v>
      </c>
      <c r="L2" t="str">
        <f>""&amp;A2&amp;","</f>
        <v>RN9010827670,</v>
      </c>
    </row>
    <row r="3" spans="1:12" hidden="1">
      <c r="A3" t="s">
        <v>1118</v>
      </c>
      <c r="B3">
        <v>10906425</v>
      </c>
      <c r="C3" s="60">
        <v>45931</v>
      </c>
      <c r="D3" t="s">
        <v>1167</v>
      </c>
      <c r="E3">
        <v>0</v>
      </c>
      <c r="I3">
        <v>60867252</v>
      </c>
      <c r="J3">
        <v>60867252</v>
      </c>
      <c r="L3" t="str">
        <f t="shared" ref="L3:L66" si="0">""&amp;A3&amp;","</f>
        <v>RN9010906425,</v>
      </c>
    </row>
    <row r="4" spans="1:12" hidden="1">
      <c r="A4" t="s">
        <v>1075</v>
      </c>
      <c r="B4">
        <v>11725606</v>
      </c>
      <c r="C4" s="60">
        <v>45931</v>
      </c>
      <c r="D4" t="s">
        <v>1167</v>
      </c>
      <c r="E4">
        <v>705</v>
      </c>
      <c r="I4">
        <v>7510747559</v>
      </c>
      <c r="J4">
        <v>510747559</v>
      </c>
      <c r="L4" t="str">
        <f t="shared" si="0"/>
        <v>HD9011725606,</v>
      </c>
    </row>
    <row r="5" spans="1:12" hidden="1">
      <c r="A5" t="s">
        <v>1124</v>
      </c>
      <c r="B5">
        <v>11766191</v>
      </c>
      <c r="C5" s="60">
        <v>45931</v>
      </c>
      <c r="D5" t="s">
        <v>1167</v>
      </c>
      <c r="E5">
        <v>1499</v>
      </c>
      <c r="I5">
        <v>9011891183</v>
      </c>
      <c r="J5">
        <v>11891183</v>
      </c>
      <c r="L5" t="str">
        <f t="shared" si="0"/>
        <v>JR9011766191,</v>
      </c>
    </row>
    <row r="6" spans="1:12" hidden="1">
      <c r="A6" t="s">
        <v>1092</v>
      </c>
      <c r="B6">
        <v>12110367</v>
      </c>
      <c r="C6" s="60">
        <v>45931</v>
      </c>
      <c r="D6" t="s">
        <v>1167</v>
      </c>
      <c r="E6">
        <v>1159</v>
      </c>
      <c r="I6">
        <v>7512680130</v>
      </c>
      <c r="J6">
        <v>512680130</v>
      </c>
      <c r="L6" t="str">
        <f t="shared" si="0"/>
        <v>CC9012110367,</v>
      </c>
    </row>
    <row r="7" spans="1:12" hidden="1">
      <c r="A7" t="s">
        <v>1114</v>
      </c>
      <c r="B7">
        <v>12114681</v>
      </c>
      <c r="C7" s="60">
        <v>45931</v>
      </c>
      <c r="D7" t="s">
        <v>1167</v>
      </c>
      <c r="E7">
        <v>0</v>
      </c>
      <c r="I7">
        <v>9011552437</v>
      </c>
      <c r="J7">
        <v>11552437</v>
      </c>
      <c r="L7" t="str">
        <f t="shared" si="0"/>
        <v>KI9012114681,</v>
      </c>
    </row>
    <row r="8" spans="1:12" hidden="1">
      <c r="A8" t="s">
        <v>1143</v>
      </c>
      <c r="B8">
        <v>12118475</v>
      </c>
      <c r="C8" s="60">
        <v>45931</v>
      </c>
      <c r="D8" t="s">
        <v>1167</v>
      </c>
      <c r="E8">
        <v>0</v>
      </c>
      <c r="I8">
        <v>9011904748</v>
      </c>
      <c r="J8">
        <v>11904748</v>
      </c>
      <c r="L8" t="str">
        <f t="shared" si="0"/>
        <v>KI9012118475,</v>
      </c>
    </row>
    <row r="9" spans="1:12" hidden="1">
      <c r="A9" t="s">
        <v>1108</v>
      </c>
      <c r="B9">
        <v>12121016</v>
      </c>
      <c r="C9" s="60">
        <v>45931</v>
      </c>
      <c r="D9" t="s">
        <v>1167</v>
      </c>
      <c r="E9">
        <v>348</v>
      </c>
      <c r="I9">
        <v>9011890567</v>
      </c>
      <c r="J9">
        <v>11890567</v>
      </c>
      <c r="L9" t="str">
        <f t="shared" si="0"/>
        <v>KI9012121016,</v>
      </c>
    </row>
    <row r="10" spans="1:12" hidden="1">
      <c r="A10" t="s">
        <v>1122</v>
      </c>
      <c r="B10">
        <v>12121889</v>
      </c>
      <c r="C10" s="60">
        <v>45931</v>
      </c>
      <c r="D10" t="s">
        <v>1167</v>
      </c>
      <c r="E10">
        <v>369</v>
      </c>
      <c r="I10">
        <v>9011887965</v>
      </c>
      <c r="J10">
        <v>11887965</v>
      </c>
      <c r="L10" t="str">
        <f t="shared" si="0"/>
        <v>KI9012121889,</v>
      </c>
    </row>
    <row r="11" spans="1:12" hidden="1">
      <c r="A11" t="s">
        <v>1115</v>
      </c>
      <c r="B11">
        <v>12122681</v>
      </c>
      <c r="C11" s="60">
        <v>45931</v>
      </c>
      <c r="D11" t="s">
        <v>1167</v>
      </c>
      <c r="E11">
        <v>1841</v>
      </c>
      <c r="I11">
        <v>7509838089</v>
      </c>
      <c r="J11">
        <v>509838089</v>
      </c>
      <c r="L11" t="str">
        <f t="shared" si="0"/>
        <v>LE9012122681,</v>
      </c>
    </row>
    <row r="12" spans="1:12" hidden="1">
      <c r="A12" t="s">
        <v>1091</v>
      </c>
      <c r="B12">
        <v>12123388</v>
      </c>
      <c r="C12" s="60">
        <v>45931</v>
      </c>
      <c r="D12" t="s">
        <v>1167</v>
      </c>
      <c r="E12">
        <v>526</v>
      </c>
      <c r="I12">
        <v>9011885581</v>
      </c>
      <c r="J12">
        <v>11885581</v>
      </c>
      <c r="L12" t="str">
        <f t="shared" si="0"/>
        <v>LE9012123388,</v>
      </c>
    </row>
    <row r="13" spans="1:12" hidden="1">
      <c r="A13" t="s">
        <v>1082</v>
      </c>
      <c r="B13">
        <v>12123599</v>
      </c>
      <c r="C13" s="60">
        <v>45931</v>
      </c>
      <c r="D13" t="s">
        <v>1167</v>
      </c>
      <c r="E13">
        <v>2830</v>
      </c>
      <c r="I13">
        <v>7510752813</v>
      </c>
      <c r="J13">
        <v>510752813</v>
      </c>
      <c r="L13" t="str">
        <f t="shared" si="0"/>
        <v>LE9012123599,</v>
      </c>
    </row>
    <row r="14" spans="1:12" hidden="1">
      <c r="A14" t="s">
        <v>1163</v>
      </c>
      <c r="B14">
        <v>12124352</v>
      </c>
      <c r="C14" s="60">
        <v>45931</v>
      </c>
      <c r="D14" t="s">
        <v>1167</v>
      </c>
      <c r="E14">
        <v>499</v>
      </c>
      <c r="I14">
        <v>9011889257</v>
      </c>
      <c r="J14">
        <v>11889257</v>
      </c>
      <c r="L14" t="str">
        <f t="shared" si="0"/>
        <v>KI9012124352,</v>
      </c>
    </row>
    <row r="15" spans="1:12" hidden="1">
      <c r="A15" t="s">
        <v>1158</v>
      </c>
      <c r="B15">
        <v>12125025</v>
      </c>
      <c r="C15" s="60">
        <v>45931</v>
      </c>
      <c r="D15" t="s">
        <v>1167</v>
      </c>
      <c r="E15">
        <v>355</v>
      </c>
      <c r="I15">
        <v>9011552501</v>
      </c>
      <c r="J15">
        <v>11552501</v>
      </c>
      <c r="L15" t="str">
        <f t="shared" si="0"/>
        <v>KI9012125025,</v>
      </c>
    </row>
    <row r="16" spans="1:12" hidden="1">
      <c r="A16" t="s">
        <v>1133</v>
      </c>
      <c r="B16">
        <v>12125356</v>
      </c>
      <c r="C16" s="60">
        <v>45931</v>
      </c>
      <c r="D16" t="s">
        <v>1167</v>
      </c>
      <c r="E16">
        <v>698</v>
      </c>
      <c r="I16">
        <v>9011868769</v>
      </c>
      <c r="J16">
        <v>11868769</v>
      </c>
      <c r="L16" t="str">
        <f t="shared" si="0"/>
        <v>KI9012125356,</v>
      </c>
    </row>
    <row r="17" spans="1:12" hidden="1">
      <c r="A17" t="s">
        <v>1121</v>
      </c>
      <c r="B17">
        <v>12126822</v>
      </c>
      <c r="C17" s="60">
        <v>45931</v>
      </c>
      <c r="D17" t="s">
        <v>1167</v>
      </c>
      <c r="E17">
        <v>960</v>
      </c>
      <c r="I17">
        <v>9011903335</v>
      </c>
      <c r="J17">
        <v>11903335</v>
      </c>
      <c r="L17" t="str">
        <f t="shared" si="0"/>
        <v>ID9012126822,</v>
      </c>
    </row>
    <row r="18" spans="1:12" hidden="1">
      <c r="A18" t="s">
        <v>1098</v>
      </c>
      <c r="B18">
        <v>12128086</v>
      </c>
      <c r="C18" s="60">
        <v>45931</v>
      </c>
      <c r="D18" t="s">
        <v>1167</v>
      </c>
      <c r="E18">
        <v>958</v>
      </c>
      <c r="I18">
        <v>7509875269</v>
      </c>
      <c r="J18">
        <v>509875269</v>
      </c>
      <c r="L18" t="str">
        <f t="shared" si="0"/>
        <v>LE9012128086,</v>
      </c>
    </row>
    <row r="19" spans="1:12" hidden="1">
      <c r="A19" t="s">
        <v>1076</v>
      </c>
      <c r="B19">
        <v>12128091</v>
      </c>
      <c r="C19" s="60">
        <v>45931</v>
      </c>
      <c r="D19" t="s">
        <v>1167</v>
      </c>
      <c r="E19">
        <v>0</v>
      </c>
      <c r="I19">
        <v>7512682658</v>
      </c>
      <c r="J19">
        <v>512682658</v>
      </c>
      <c r="L19" t="str">
        <f t="shared" si="0"/>
        <v>KI9012128091,</v>
      </c>
    </row>
    <row r="20" spans="1:12" hidden="1">
      <c r="A20" t="s">
        <v>1071</v>
      </c>
      <c r="B20">
        <v>12128170</v>
      </c>
      <c r="C20" s="60">
        <v>45931</v>
      </c>
      <c r="D20" t="s">
        <v>1167</v>
      </c>
      <c r="E20">
        <v>1872</v>
      </c>
      <c r="I20">
        <v>9011887725</v>
      </c>
      <c r="J20">
        <v>11887725</v>
      </c>
      <c r="L20" t="str">
        <f t="shared" si="0"/>
        <v>LE9012128170,</v>
      </c>
    </row>
    <row r="21" spans="1:12" hidden="1">
      <c r="A21" t="s">
        <v>1149</v>
      </c>
      <c r="B21">
        <v>12128560</v>
      </c>
      <c r="C21" s="60">
        <v>45931</v>
      </c>
      <c r="D21" t="s">
        <v>1167</v>
      </c>
      <c r="E21">
        <v>384</v>
      </c>
      <c r="I21">
        <v>9011896281</v>
      </c>
      <c r="J21">
        <v>11896281</v>
      </c>
      <c r="L21" t="str">
        <f t="shared" si="0"/>
        <v>KI9012128560,</v>
      </c>
    </row>
    <row r="22" spans="1:12" hidden="1">
      <c r="A22" t="s">
        <v>1125</v>
      </c>
      <c r="B22">
        <v>12129018</v>
      </c>
      <c r="C22" s="60">
        <v>45931</v>
      </c>
      <c r="D22" t="s">
        <v>1167</v>
      </c>
      <c r="E22">
        <v>1329</v>
      </c>
      <c r="I22">
        <v>7510722207</v>
      </c>
      <c r="J22">
        <v>510722207</v>
      </c>
      <c r="L22" t="str">
        <f t="shared" si="0"/>
        <v>KI9012129018,</v>
      </c>
    </row>
    <row r="23" spans="1:12" hidden="1">
      <c r="A23" t="s">
        <v>1084</v>
      </c>
      <c r="B23">
        <v>12129167</v>
      </c>
      <c r="C23" s="60">
        <v>45931</v>
      </c>
      <c r="D23" t="s">
        <v>1167</v>
      </c>
      <c r="E23">
        <v>629</v>
      </c>
      <c r="I23">
        <v>7511900587</v>
      </c>
      <c r="J23">
        <v>511900587</v>
      </c>
      <c r="L23" t="str">
        <f t="shared" si="0"/>
        <v>LE9012129167,</v>
      </c>
    </row>
    <row r="24" spans="1:12" hidden="1">
      <c r="A24" t="s">
        <v>1135</v>
      </c>
      <c r="B24">
        <v>12129400</v>
      </c>
      <c r="C24" s="60">
        <v>45931</v>
      </c>
      <c r="D24" t="s">
        <v>1167</v>
      </c>
      <c r="E24">
        <v>2229</v>
      </c>
      <c r="I24">
        <v>9011892136</v>
      </c>
      <c r="J24">
        <v>11892136</v>
      </c>
      <c r="L24" t="str">
        <f t="shared" si="0"/>
        <v>KI9012129400,</v>
      </c>
    </row>
    <row r="25" spans="1:12" hidden="1">
      <c r="A25" t="s">
        <v>1100</v>
      </c>
      <c r="B25">
        <v>12129623</v>
      </c>
      <c r="C25" s="60">
        <v>45931</v>
      </c>
      <c r="D25" t="s">
        <v>1167</v>
      </c>
      <c r="E25">
        <v>0</v>
      </c>
      <c r="I25">
        <v>7511865299</v>
      </c>
      <c r="J25">
        <v>511865299</v>
      </c>
      <c r="L25" t="str">
        <f t="shared" si="0"/>
        <v>LE9012129623,</v>
      </c>
    </row>
    <row r="26" spans="1:12" hidden="1">
      <c r="A26" t="s">
        <v>1105</v>
      </c>
      <c r="B26">
        <v>12129821</v>
      </c>
      <c r="C26" s="60">
        <v>45931</v>
      </c>
      <c r="D26" t="s">
        <v>1167</v>
      </c>
      <c r="E26">
        <v>547</v>
      </c>
      <c r="I26">
        <v>7510767576</v>
      </c>
      <c r="J26">
        <v>510767576</v>
      </c>
      <c r="L26" t="str">
        <f t="shared" si="0"/>
        <v>LE9012129821,</v>
      </c>
    </row>
    <row r="27" spans="1:12" hidden="1">
      <c r="A27" t="s">
        <v>1144</v>
      </c>
      <c r="B27">
        <v>12129849</v>
      </c>
      <c r="C27" s="60">
        <v>45931</v>
      </c>
      <c r="D27" t="s">
        <v>1167</v>
      </c>
      <c r="E27">
        <v>929</v>
      </c>
      <c r="I27">
        <v>7510757910</v>
      </c>
      <c r="J27">
        <v>510757910</v>
      </c>
      <c r="L27" t="str">
        <f t="shared" si="0"/>
        <v>LE9012129849,</v>
      </c>
    </row>
    <row r="28" spans="1:12" hidden="1">
      <c r="A28" t="s">
        <v>1087</v>
      </c>
      <c r="B28">
        <v>12129850</v>
      </c>
      <c r="C28" s="60">
        <v>45931</v>
      </c>
      <c r="D28" t="s">
        <v>1167</v>
      </c>
      <c r="E28">
        <v>929</v>
      </c>
      <c r="I28">
        <v>7503822647</v>
      </c>
      <c r="J28">
        <v>503822647</v>
      </c>
      <c r="L28" t="str">
        <f t="shared" si="0"/>
        <v>LE9012129850,</v>
      </c>
    </row>
    <row r="29" spans="1:12" hidden="1">
      <c r="A29" t="s">
        <v>1069</v>
      </c>
      <c r="B29">
        <v>12129905</v>
      </c>
      <c r="C29" s="60">
        <v>45931</v>
      </c>
      <c r="D29" t="s">
        <v>1167</v>
      </c>
      <c r="E29">
        <v>835</v>
      </c>
      <c r="I29">
        <v>7510771696</v>
      </c>
      <c r="J29">
        <v>510771696</v>
      </c>
      <c r="L29" t="str">
        <f t="shared" si="0"/>
        <v>LE9012129905,</v>
      </c>
    </row>
    <row r="30" spans="1:12" hidden="1">
      <c r="A30" t="s">
        <v>1116</v>
      </c>
      <c r="B30">
        <v>12130052</v>
      </c>
      <c r="C30" s="60">
        <v>45931</v>
      </c>
      <c r="D30" t="s">
        <v>1167</v>
      </c>
      <c r="E30">
        <v>766</v>
      </c>
      <c r="I30">
        <v>9011913308</v>
      </c>
      <c r="J30">
        <v>11913308</v>
      </c>
      <c r="L30" t="str">
        <f t="shared" si="0"/>
        <v>KI9012130052,</v>
      </c>
    </row>
    <row r="31" spans="1:12" hidden="1">
      <c r="A31" t="s">
        <v>1141</v>
      </c>
      <c r="B31">
        <v>12130330</v>
      </c>
      <c r="C31" s="60">
        <v>45931</v>
      </c>
      <c r="D31" t="s">
        <v>1167</v>
      </c>
      <c r="E31">
        <v>565</v>
      </c>
      <c r="I31">
        <v>9011899616</v>
      </c>
      <c r="J31">
        <v>11899616</v>
      </c>
      <c r="L31" t="str">
        <f t="shared" si="0"/>
        <v>LY9012130330,</v>
      </c>
    </row>
    <row r="32" spans="1:12" hidden="1">
      <c r="A32" t="s">
        <v>1080</v>
      </c>
      <c r="B32">
        <v>12130920</v>
      </c>
      <c r="C32" s="60">
        <v>45931</v>
      </c>
      <c r="D32" t="s">
        <v>1167</v>
      </c>
      <c r="E32">
        <v>2053</v>
      </c>
      <c r="I32">
        <v>7507555526</v>
      </c>
      <c r="J32">
        <v>507555526</v>
      </c>
      <c r="L32" t="str">
        <f t="shared" si="0"/>
        <v>LE9012130920,</v>
      </c>
    </row>
    <row r="33" spans="1:12" hidden="1">
      <c r="A33" t="s">
        <v>1073</v>
      </c>
      <c r="B33">
        <v>12132733</v>
      </c>
      <c r="C33" s="60">
        <v>45931</v>
      </c>
      <c r="D33" t="s">
        <v>1167</v>
      </c>
      <c r="E33">
        <v>1329</v>
      </c>
      <c r="I33">
        <v>9011908499</v>
      </c>
      <c r="J33">
        <v>11908499</v>
      </c>
      <c r="L33" t="str">
        <f t="shared" si="0"/>
        <v>LE9012132733,</v>
      </c>
    </row>
    <row r="34" spans="1:12" hidden="1">
      <c r="A34" t="s">
        <v>1102</v>
      </c>
      <c r="B34">
        <v>12133056</v>
      </c>
      <c r="C34" s="60">
        <v>45931</v>
      </c>
      <c r="D34" t="s">
        <v>1167</v>
      </c>
      <c r="E34">
        <v>554</v>
      </c>
      <c r="I34">
        <v>7507934551</v>
      </c>
      <c r="J34">
        <v>507934551</v>
      </c>
      <c r="L34" t="str">
        <f t="shared" si="0"/>
        <v>ID9012133056,</v>
      </c>
    </row>
    <row r="35" spans="1:12" hidden="1">
      <c r="A35" t="s">
        <v>1127</v>
      </c>
      <c r="B35">
        <v>12133834</v>
      </c>
      <c r="C35" s="60">
        <v>45931</v>
      </c>
      <c r="D35" t="s">
        <v>1167</v>
      </c>
      <c r="E35">
        <v>949</v>
      </c>
      <c r="I35">
        <v>9011901936</v>
      </c>
      <c r="J35">
        <v>11901936</v>
      </c>
      <c r="L35" t="str">
        <f t="shared" si="0"/>
        <v>PW9012133834,</v>
      </c>
    </row>
    <row r="36" spans="1:12" hidden="1">
      <c r="A36" t="s">
        <v>1112</v>
      </c>
      <c r="B36">
        <v>12134044</v>
      </c>
      <c r="C36" s="60">
        <v>45931</v>
      </c>
      <c r="D36" t="s">
        <v>1167</v>
      </c>
      <c r="E36">
        <v>654</v>
      </c>
      <c r="I36">
        <v>7510772465</v>
      </c>
      <c r="J36">
        <v>510772465</v>
      </c>
      <c r="L36" t="str">
        <f t="shared" si="0"/>
        <v>KI9012134044,</v>
      </c>
    </row>
    <row r="37" spans="1:12" hidden="1">
      <c r="A37" t="s">
        <v>1099</v>
      </c>
      <c r="B37">
        <v>12134374</v>
      </c>
      <c r="C37" s="60">
        <v>45931</v>
      </c>
      <c r="D37" t="s">
        <v>1167</v>
      </c>
      <c r="E37">
        <v>587</v>
      </c>
      <c r="I37">
        <v>9011903048</v>
      </c>
      <c r="J37">
        <v>11903048</v>
      </c>
      <c r="L37" t="str">
        <f t="shared" si="0"/>
        <v>ID9012134374,</v>
      </c>
    </row>
    <row r="38" spans="1:12" hidden="1">
      <c r="A38" t="s">
        <v>1093</v>
      </c>
      <c r="B38">
        <v>12134496</v>
      </c>
      <c r="C38" s="60">
        <v>45931</v>
      </c>
      <c r="D38" t="s">
        <v>1167</v>
      </c>
      <c r="E38">
        <v>740</v>
      </c>
      <c r="I38">
        <v>9011868735</v>
      </c>
      <c r="J38">
        <v>11868735</v>
      </c>
      <c r="L38" t="str">
        <f t="shared" si="0"/>
        <v>LE9012134496,</v>
      </c>
    </row>
    <row r="39" spans="1:12" hidden="1">
      <c r="A39" t="s">
        <v>1130</v>
      </c>
      <c r="B39">
        <v>12135140</v>
      </c>
      <c r="C39" s="60">
        <v>45931</v>
      </c>
      <c r="D39" t="s">
        <v>1167</v>
      </c>
      <c r="E39">
        <v>849</v>
      </c>
      <c r="I39">
        <v>9011893974</v>
      </c>
      <c r="J39">
        <v>11893974</v>
      </c>
      <c r="L39" t="str">
        <f t="shared" si="0"/>
        <v>ID9012135140,</v>
      </c>
    </row>
    <row r="40" spans="1:12" hidden="1">
      <c r="A40" t="s">
        <v>1152</v>
      </c>
      <c r="B40">
        <v>12136022</v>
      </c>
      <c r="C40" s="60">
        <v>45931</v>
      </c>
      <c r="D40" t="s">
        <v>1167</v>
      </c>
      <c r="E40">
        <v>0</v>
      </c>
      <c r="I40">
        <v>7513071164</v>
      </c>
      <c r="J40">
        <v>513071164</v>
      </c>
      <c r="L40" t="str">
        <f t="shared" si="0"/>
        <v>FS9012136022,</v>
      </c>
    </row>
    <row r="41" spans="1:12" hidden="1">
      <c r="A41" t="s">
        <v>1090</v>
      </c>
      <c r="B41">
        <v>12136322</v>
      </c>
      <c r="C41" s="60">
        <v>45931</v>
      </c>
      <c r="D41" t="s">
        <v>1167</v>
      </c>
      <c r="E41">
        <v>1099</v>
      </c>
      <c r="I41">
        <v>7510746862</v>
      </c>
      <c r="J41">
        <v>510746862</v>
      </c>
      <c r="L41" t="str">
        <f t="shared" si="0"/>
        <v>FS9012136322,</v>
      </c>
    </row>
    <row r="42" spans="1:12" hidden="1">
      <c r="A42" t="s">
        <v>1081</v>
      </c>
      <c r="B42">
        <v>12137769</v>
      </c>
      <c r="C42" s="60">
        <v>45931</v>
      </c>
      <c r="D42" t="s">
        <v>1167</v>
      </c>
      <c r="E42">
        <v>1349</v>
      </c>
      <c r="I42">
        <v>7510759674</v>
      </c>
      <c r="J42">
        <v>510759674</v>
      </c>
      <c r="L42" t="str">
        <f t="shared" si="0"/>
        <v>LE9012137769,</v>
      </c>
    </row>
    <row r="43" spans="1:12" hidden="1">
      <c r="A43" t="s">
        <v>1104</v>
      </c>
      <c r="B43">
        <v>12137920</v>
      </c>
      <c r="C43" s="60">
        <v>45931</v>
      </c>
      <c r="D43" t="s">
        <v>1167</v>
      </c>
      <c r="E43">
        <v>397</v>
      </c>
      <c r="I43">
        <v>9011886262</v>
      </c>
      <c r="J43">
        <v>11886262</v>
      </c>
      <c r="L43" t="str">
        <f t="shared" si="0"/>
        <v>LE9012137920,</v>
      </c>
    </row>
    <row r="44" spans="1:12" hidden="1">
      <c r="A44" t="s">
        <v>1166</v>
      </c>
      <c r="B44">
        <v>12137923</v>
      </c>
      <c r="C44" s="60">
        <v>45931</v>
      </c>
      <c r="D44" t="s">
        <v>1167</v>
      </c>
      <c r="E44">
        <v>1430</v>
      </c>
      <c r="I44">
        <v>7513655020</v>
      </c>
      <c r="J44">
        <v>513655020</v>
      </c>
      <c r="L44" t="str">
        <f t="shared" si="0"/>
        <v>KI9012137923,</v>
      </c>
    </row>
    <row r="45" spans="1:12" hidden="1">
      <c r="A45" t="s">
        <v>1134</v>
      </c>
      <c r="B45">
        <v>12138014</v>
      </c>
      <c r="C45" s="60">
        <v>45931</v>
      </c>
      <c r="D45" t="s">
        <v>1167</v>
      </c>
      <c r="E45">
        <v>0</v>
      </c>
      <c r="I45">
        <v>60853229</v>
      </c>
      <c r="J45">
        <v>60853229</v>
      </c>
      <c r="L45" t="str">
        <f t="shared" si="0"/>
        <v>SL9012138014,</v>
      </c>
    </row>
    <row r="46" spans="1:12" hidden="1">
      <c r="A46" t="s">
        <v>1150</v>
      </c>
      <c r="B46">
        <v>12138135</v>
      </c>
      <c r="C46" s="60">
        <v>45931</v>
      </c>
      <c r="D46" t="s">
        <v>1167</v>
      </c>
      <c r="E46">
        <v>890</v>
      </c>
      <c r="I46">
        <v>9011887462</v>
      </c>
      <c r="J46">
        <v>11887462</v>
      </c>
      <c r="L46" t="str">
        <f t="shared" si="0"/>
        <v>KI9012138135,</v>
      </c>
    </row>
    <row r="47" spans="1:12" hidden="1">
      <c r="A47" t="s">
        <v>1106</v>
      </c>
      <c r="B47">
        <v>12138900</v>
      </c>
      <c r="C47" s="60">
        <v>45931</v>
      </c>
      <c r="D47" t="s">
        <v>1167</v>
      </c>
      <c r="E47">
        <v>1500</v>
      </c>
      <c r="I47">
        <v>9011895500</v>
      </c>
      <c r="J47">
        <v>11895500</v>
      </c>
      <c r="L47" t="str">
        <f t="shared" si="0"/>
        <v>LE9012138900,</v>
      </c>
    </row>
    <row r="48" spans="1:12" hidden="1">
      <c r="A48" t="s">
        <v>1101</v>
      </c>
      <c r="B48">
        <v>12139219</v>
      </c>
      <c r="C48" s="60">
        <v>45931</v>
      </c>
      <c r="D48" t="s">
        <v>1167</v>
      </c>
      <c r="E48">
        <v>410</v>
      </c>
      <c r="I48">
        <v>9011894713</v>
      </c>
      <c r="J48">
        <v>11894713</v>
      </c>
      <c r="L48" t="str">
        <f t="shared" si="0"/>
        <v>PW9012139219,</v>
      </c>
    </row>
    <row r="49" spans="1:12" hidden="1">
      <c r="A49" t="s">
        <v>1142</v>
      </c>
      <c r="B49">
        <v>12139287</v>
      </c>
      <c r="C49" s="60">
        <v>45931</v>
      </c>
      <c r="D49" t="s">
        <v>1167</v>
      </c>
      <c r="E49">
        <v>0</v>
      </c>
      <c r="I49">
        <v>9011896332</v>
      </c>
      <c r="J49">
        <v>11896332</v>
      </c>
      <c r="L49" t="str">
        <f t="shared" si="0"/>
        <v>KI9012139287,</v>
      </c>
    </row>
    <row r="50" spans="1:12" hidden="1">
      <c r="A50" t="s">
        <v>1074</v>
      </c>
      <c r="B50">
        <v>12139681</v>
      </c>
      <c r="C50" s="60">
        <v>45931</v>
      </c>
      <c r="D50" t="s">
        <v>1167</v>
      </c>
      <c r="E50">
        <v>1799</v>
      </c>
      <c r="I50">
        <v>7510755032</v>
      </c>
      <c r="J50">
        <v>510755032</v>
      </c>
      <c r="L50" t="str">
        <f t="shared" si="0"/>
        <v>FS9012139681,</v>
      </c>
    </row>
    <row r="51" spans="1:12" hidden="1">
      <c r="A51" t="s">
        <v>1136</v>
      </c>
      <c r="B51">
        <v>12142353</v>
      </c>
      <c r="C51" s="60">
        <v>45931</v>
      </c>
      <c r="D51" t="s">
        <v>1167</v>
      </c>
      <c r="E51">
        <v>799</v>
      </c>
      <c r="I51">
        <v>7507415540</v>
      </c>
      <c r="J51">
        <v>507415540</v>
      </c>
      <c r="L51" t="str">
        <f t="shared" si="0"/>
        <v>FS9012142353,</v>
      </c>
    </row>
    <row r="52" spans="1:12" hidden="1">
      <c r="A52" t="s">
        <v>1145</v>
      </c>
      <c r="B52">
        <v>12144690</v>
      </c>
      <c r="C52" s="60">
        <v>45931</v>
      </c>
      <c r="D52" t="s">
        <v>1167</v>
      </c>
      <c r="E52">
        <v>0</v>
      </c>
      <c r="I52">
        <v>7509871726</v>
      </c>
      <c r="J52">
        <v>509871726</v>
      </c>
      <c r="L52" t="str">
        <f t="shared" si="0"/>
        <v>FS9012144690,</v>
      </c>
    </row>
    <row r="53" spans="1:12" hidden="1">
      <c r="A53" t="s">
        <v>1126</v>
      </c>
      <c r="B53">
        <v>12147633</v>
      </c>
      <c r="C53" s="60">
        <v>45931</v>
      </c>
      <c r="D53" t="s">
        <v>1167</v>
      </c>
      <c r="E53">
        <v>0</v>
      </c>
      <c r="I53">
        <v>9011879817</v>
      </c>
      <c r="J53">
        <v>11879817</v>
      </c>
      <c r="L53" t="str">
        <f t="shared" si="0"/>
        <v>PW9012147633,</v>
      </c>
    </row>
    <row r="54" spans="1:12" hidden="1">
      <c r="A54" t="s">
        <v>1148</v>
      </c>
      <c r="B54">
        <v>12147707</v>
      </c>
      <c r="C54" s="60">
        <v>45931</v>
      </c>
      <c r="D54" t="s">
        <v>1167</v>
      </c>
      <c r="E54">
        <v>1141</v>
      </c>
      <c r="I54">
        <v>7511905726</v>
      </c>
      <c r="J54">
        <v>511905726</v>
      </c>
      <c r="L54" t="str">
        <f t="shared" si="0"/>
        <v>FS9012147707,</v>
      </c>
    </row>
    <row r="55" spans="1:12" hidden="1">
      <c r="A55" t="s">
        <v>1111</v>
      </c>
      <c r="B55">
        <v>12147737</v>
      </c>
      <c r="C55" s="60">
        <v>45931</v>
      </c>
      <c r="D55" t="s">
        <v>1167</v>
      </c>
      <c r="E55">
        <v>881</v>
      </c>
      <c r="I55">
        <v>9011889580</v>
      </c>
      <c r="J55">
        <v>11889580</v>
      </c>
      <c r="L55" t="str">
        <f t="shared" si="0"/>
        <v>RN9012147737,</v>
      </c>
    </row>
    <row r="56" spans="1:12" hidden="1">
      <c r="A56" t="s">
        <v>1120</v>
      </c>
      <c r="B56">
        <v>60888691</v>
      </c>
      <c r="C56" s="60">
        <v>45931</v>
      </c>
      <c r="D56" t="s">
        <v>1167</v>
      </c>
      <c r="E56">
        <v>5200</v>
      </c>
      <c r="I56">
        <v>7509901277</v>
      </c>
      <c r="J56">
        <v>509901277</v>
      </c>
      <c r="L56" t="str">
        <f t="shared" si="0"/>
        <v>RW0060888691,</v>
      </c>
    </row>
    <row r="57" spans="1:12" hidden="1">
      <c r="A57" t="s">
        <v>1094</v>
      </c>
      <c r="B57">
        <v>500671654</v>
      </c>
      <c r="C57" s="60">
        <v>45931</v>
      </c>
      <c r="D57" t="s">
        <v>1167</v>
      </c>
      <c r="E57">
        <v>0</v>
      </c>
      <c r="I57">
        <v>7509762058</v>
      </c>
      <c r="J57">
        <v>509762058</v>
      </c>
      <c r="L57" t="str">
        <f t="shared" si="0"/>
        <v>KI7500671654,</v>
      </c>
    </row>
    <row r="58" spans="1:12" hidden="1">
      <c r="A58" t="s">
        <v>1079</v>
      </c>
      <c r="B58">
        <v>500673840</v>
      </c>
      <c r="C58" s="60">
        <v>45931</v>
      </c>
      <c r="D58" t="s">
        <v>1167</v>
      </c>
      <c r="E58">
        <v>1300</v>
      </c>
      <c r="I58">
        <v>7510753859</v>
      </c>
      <c r="J58">
        <v>510753859</v>
      </c>
      <c r="L58" t="str">
        <f t="shared" si="0"/>
        <v>KI7500673840,</v>
      </c>
    </row>
    <row r="59" spans="1:12" hidden="1">
      <c r="A59" t="s">
        <v>1162</v>
      </c>
      <c r="B59">
        <v>504339759</v>
      </c>
      <c r="C59" s="60">
        <v>45931</v>
      </c>
      <c r="D59" t="s">
        <v>1167</v>
      </c>
      <c r="E59">
        <v>6800</v>
      </c>
      <c r="I59">
        <v>9011891094</v>
      </c>
      <c r="J59">
        <v>11891094</v>
      </c>
      <c r="L59" t="str">
        <f t="shared" si="0"/>
        <v>JD7504339759,</v>
      </c>
    </row>
    <row r="60" spans="1:12" hidden="1">
      <c r="A60" t="s">
        <v>1128</v>
      </c>
      <c r="B60">
        <v>506194004</v>
      </c>
      <c r="C60" s="60">
        <v>45931</v>
      </c>
      <c r="D60" t="s">
        <v>1167</v>
      </c>
      <c r="E60">
        <v>0</v>
      </c>
      <c r="I60">
        <v>7510767152</v>
      </c>
      <c r="J60">
        <v>510767152</v>
      </c>
      <c r="L60" t="str">
        <f t="shared" si="0"/>
        <v>KI7506194004,</v>
      </c>
    </row>
    <row r="61" spans="1:12" hidden="1">
      <c r="A61" t="s">
        <v>1083</v>
      </c>
      <c r="B61">
        <v>506199389</v>
      </c>
      <c r="C61" s="60">
        <v>45931</v>
      </c>
      <c r="D61" t="s">
        <v>1167</v>
      </c>
      <c r="E61">
        <v>1535</v>
      </c>
      <c r="I61">
        <v>9011552514</v>
      </c>
      <c r="J61">
        <v>11552514</v>
      </c>
      <c r="L61" t="str">
        <f t="shared" si="0"/>
        <v>KI7506199389,</v>
      </c>
    </row>
    <row r="62" spans="1:12" hidden="1">
      <c r="A62" t="s">
        <v>1072</v>
      </c>
      <c r="B62">
        <v>506205533</v>
      </c>
      <c r="C62" s="60">
        <v>45931</v>
      </c>
      <c r="D62" t="s">
        <v>1167</v>
      </c>
      <c r="E62">
        <v>0</v>
      </c>
      <c r="I62">
        <v>9011901574</v>
      </c>
      <c r="J62">
        <v>11901574</v>
      </c>
      <c r="L62" t="str">
        <f t="shared" si="0"/>
        <v>KI7506205533,</v>
      </c>
    </row>
    <row r="63" spans="1:12" hidden="1">
      <c r="A63" t="s">
        <v>1155</v>
      </c>
      <c r="B63">
        <v>506750097</v>
      </c>
      <c r="C63" s="60">
        <v>45931</v>
      </c>
      <c r="D63" t="s">
        <v>1167</v>
      </c>
      <c r="E63">
        <v>1448</v>
      </c>
      <c r="I63">
        <v>7510766317</v>
      </c>
      <c r="J63">
        <v>510766317</v>
      </c>
      <c r="L63" t="str">
        <f t="shared" si="0"/>
        <v>SP7506750097,</v>
      </c>
    </row>
    <row r="64" spans="1:12" hidden="1">
      <c r="A64" t="s">
        <v>1113</v>
      </c>
      <c r="B64">
        <v>506794634</v>
      </c>
      <c r="C64" s="60">
        <v>45931</v>
      </c>
      <c r="D64" t="s">
        <v>1167</v>
      </c>
      <c r="E64">
        <v>2210</v>
      </c>
      <c r="I64">
        <v>7512336401</v>
      </c>
      <c r="J64">
        <v>512336401</v>
      </c>
      <c r="L64" t="str">
        <f t="shared" si="0"/>
        <v>WC7506794634,</v>
      </c>
    </row>
    <row r="65" spans="1:12" hidden="1">
      <c r="A65" t="s">
        <v>1131</v>
      </c>
      <c r="B65">
        <v>507266020</v>
      </c>
      <c r="C65" s="60">
        <v>45931</v>
      </c>
      <c r="D65" t="s">
        <v>1167</v>
      </c>
      <c r="E65">
        <v>3850</v>
      </c>
      <c r="I65">
        <v>9011898275</v>
      </c>
      <c r="J65">
        <v>11898275</v>
      </c>
      <c r="L65" t="str">
        <f t="shared" si="0"/>
        <v>RW7507266020,</v>
      </c>
    </row>
    <row r="66" spans="1:12" hidden="1">
      <c r="A66" t="s">
        <v>1103</v>
      </c>
      <c r="B66">
        <v>507270153</v>
      </c>
      <c r="C66" s="60">
        <v>45931</v>
      </c>
      <c r="D66" t="s">
        <v>1167</v>
      </c>
      <c r="E66">
        <v>3280</v>
      </c>
      <c r="I66">
        <v>7512682555</v>
      </c>
      <c r="J66">
        <v>512682555</v>
      </c>
      <c r="L66" t="str">
        <f t="shared" si="0"/>
        <v>RW7507270153,</v>
      </c>
    </row>
    <row r="67" spans="1:12" hidden="1">
      <c r="A67" t="s">
        <v>1109</v>
      </c>
      <c r="B67">
        <v>507270328</v>
      </c>
      <c r="C67" s="60">
        <v>45931</v>
      </c>
      <c r="D67" t="s">
        <v>1167</v>
      </c>
      <c r="E67">
        <v>0</v>
      </c>
      <c r="I67">
        <v>7512680982</v>
      </c>
      <c r="J67">
        <v>512680982</v>
      </c>
      <c r="L67" t="str">
        <f t="shared" ref="L67:L130" si="1">""&amp;A67&amp;","</f>
        <v>RW7507270328,</v>
      </c>
    </row>
    <row r="68" spans="1:12" hidden="1">
      <c r="A68" t="s">
        <v>1132</v>
      </c>
      <c r="B68">
        <v>507270836</v>
      </c>
      <c r="C68" s="60">
        <v>45931</v>
      </c>
      <c r="D68" t="s">
        <v>1167</v>
      </c>
      <c r="E68">
        <v>2000</v>
      </c>
      <c r="I68">
        <v>9011895858</v>
      </c>
      <c r="J68">
        <v>11895858</v>
      </c>
      <c r="L68" t="str">
        <f t="shared" si="1"/>
        <v>RW7507270836,</v>
      </c>
    </row>
    <row r="69" spans="1:12" hidden="1">
      <c r="A69" t="s">
        <v>1164</v>
      </c>
      <c r="B69">
        <v>507937048</v>
      </c>
      <c r="C69" s="60">
        <v>45931</v>
      </c>
      <c r="D69" t="s">
        <v>1167</v>
      </c>
      <c r="E69">
        <v>1200</v>
      </c>
      <c r="I69">
        <v>7509872066</v>
      </c>
      <c r="J69">
        <v>509872066</v>
      </c>
      <c r="L69" t="str">
        <f t="shared" si="1"/>
        <v>BA7507937048,</v>
      </c>
    </row>
    <row r="70" spans="1:12" hidden="1">
      <c r="A70" t="s">
        <v>1140</v>
      </c>
      <c r="B70">
        <v>508323474</v>
      </c>
      <c r="C70" s="60">
        <v>45931</v>
      </c>
      <c r="D70" t="s">
        <v>1167</v>
      </c>
      <c r="E70">
        <v>0</v>
      </c>
      <c r="I70">
        <v>9011845005</v>
      </c>
      <c r="J70">
        <v>11845005</v>
      </c>
      <c r="L70" t="str">
        <f t="shared" si="1"/>
        <v>LE7508323474,</v>
      </c>
    </row>
    <row r="71" spans="1:12" hidden="1">
      <c r="A71" t="s">
        <v>1077</v>
      </c>
      <c r="B71">
        <v>508333121</v>
      </c>
      <c r="C71" s="60">
        <v>45931</v>
      </c>
      <c r="D71" t="s">
        <v>1167</v>
      </c>
      <c r="E71">
        <v>2999</v>
      </c>
      <c r="I71">
        <v>9011898475</v>
      </c>
      <c r="J71">
        <v>11898475</v>
      </c>
      <c r="L71" t="str">
        <f t="shared" si="1"/>
        <v>LE7508333121,</v>
      </c>
    </row>
    <row r="72" spans="1:12" hidden="1">
      <c r="A72" t="s">
        <v>1078</v>
      </c>
      <c r="B72">
        <v>508335157</v>
      </c>
      <c r="C72" s="60">
        <v>45931</v>
      </c>
      <c r="D72" t="s">
        <v>1167</v>
      </c>
      <c r="E72">
        <v>2500</v>
      </c>
      <c r="I72">
        <v>7509869966</v>
      </c>
      <c r="J72">
        <v>509869966</v>
      </c>
      <c r="L72" t="str">
        <f t="shared" si="1"/>
        <v>LE7508335157,</v>
      </c>
    </row>
    <row r="73" spans="1:12" hidden="1">
      <c r="A73" t="s">
        <v>1139</v>
      </c>
      <c r="B73">
        <v>508335602</v>
      </c>
      <c r="C73" s="60">
        <v>45931</v>
      </c>
      <c r="D73" t="s">
        <v>1167</v>
      </c>
      <c r="E73">
        <v>1399</v>
      </c>
      <c r="I73">
        <v>7509873275</v>
      </c>
      <c r="J73">
        <v>509873275</v>
      </c>
      <c r="L73" t="str">
        <f t="shared" si="1"/>
        <v>LE7508335602,</v>
      </c>
    </row>
    <row r="74" spans="1:12" hidden="1">
      <c r="A74" t="s">
        <v>1110</v>
      </c>
      <c r="B74">
        <v>508336005</v>
      </c>
      <c r="C74" s="60">
        <v>45931</v>
      </c>
      <c r="D74" t="s">
        <v>1167</v>
      </c>
      <c r="E74">
        <v>1600</v>
      </c>
      <c r="I74">
        <v>7511884445</v>
      </c>
      <c r="J74">
        <v>511884445</v>
      </c>
      <c r="L74" t="str">
        <f t="shared" si="1"/>
        <v>LE7508336005,</v>
      </c>
    </row>
    <row r="75" spans="1:12" hidden="1">
      <c r="A75" t="s">
        <v>1086</v>
      </c>
      <c r="B75">
        <v>508339220</v>
      </c>
      <c r="C75" s="60">
        <v>45931</v>
      </c>
      <c r="D75" t="s">
        <v>1167</v>
      </c>
      <c r="E75">
        <v>1500</v>
      </c>
      <c r="I75">
        <v>7509903543</v>
      </c>
      <c r="J75">
        <v>509903543</v>
      </c>
      <c r="L75" t="str">
        <f t="shared" si="1"/>
        <v>LE7508339220,</v>
      </c>
    </row>
    <row r="76" spans="1:12" hidden="1">
      <c r="A76" t="s">
        <v>1085</v>
      </c>
      <c r="B76">
        <v>508345970</v>
      </c>
      <c r="C76" s="60">
        <v>45931</v>
      </c>
      <c r="D76" t="s">
        <v>1167</v>
      </c>
      <c r="E76">
        <v>1899.05</v>
      </c>
      <c r="I76">
        <v>7507556226</v>
      </c>
      <c r="J76">
        <v>507556226</v>
      </c>
      <c r="L76" t="str">
        <f t="shared" si="1"/>
        <v>LE7508345970,</v>
      </c>
    </row>
    <row r="77" spans="1:12" hidden="1">
      <c r="A77" t="s">
        <v>1160</v>
      </c>
      <c r="B77">
        <v>508358527</v>
      </c>
      <c r="C77" s="60">
        <v>45931</v>
      </c>
      <c r="D77" t="s">
        <v>1167</v>
      </c>
      <c r="E77">
        <v>0</v>
      </c>
      <c r="I77">
        <v>7512992832</v>
      </c>
      <c r="J77">
        <v>512992832</v>
      </c>
      <c r="L77" t="str">
        <f t="shared" si="1"/>
        <v>LE7508358527,</v>
      </c>
    </row>
    <row r="78" spans="1:12" hidden="1">
      <c r="A78" t="s">
        <v>1095</v>
      </c>
      <c r="B78">
        <v>510015760</v>
      </c>
      <c r="C78" s="60">
        <v>45931</v>
      </c>
      <c r="D78" t="s">
        <v>1167</v>
      </c>
      <c r="E78">
        <v>2350</v>
      </c>
      <c r="I78">
        <v>9011553453</v>
      </c>
      <c r="J78">
        <v>11553453</v>
      </c>
      <c r="L78" t="str">
        <f t="shared" si="1"/>
        <v>KI7510015760,</v>
      </c>
    </row>
    <row r="79" spans="1:12" hidden="1">
      <c r="A79" t="s">
        <v>1096</v>
      </c>
      <c r="B79">
        <v>510044501</v>
      </c>
      <c r="C79" s="60">
        <v>45931</v>
      </c>
      <c r="D79" t="s">
        <v>1167</v>
      </c>
      <c r="E79">
        <v>2200</v>
      </c>
      <c r="I79">
        <v>7503064960</v>
      </c>
      <c r="J79">
        <v>503064960</v>
      </c>
      <c r="L79" t="str">
        <f t="shared" si="1"/>
        <v>KI7510044501,</v>
      </c>
    </row>
    <row r="80" spans="1:12" hidden="1">
      <c r="A80" t="s">
        <v>1070</v>
      </c>
      <c r="B80">
        <v>510069827</v>
      </c>
      <c r="C80" s="60">
        <v>45931</v>
      </c>
      <c r="D80" t="s">
        <v>1167</v>
      </c>
      <c r="E80">
        <v>7000</v>
      </c>
      <c r="I80">
        <v>7504428780</v>
      </c>
      <c r="J80">
        <v>504428780</v>
      </c>
      <c r="L80" t="str">
        <f t="shared" si="1"/>
        <v>KI7510069827,</v>
      </c>
    </row>
    <row r="81" spans="1:12" hidden="1">
      <c r="A81" t="s">
        <v>1107</v>
      </c>
      <c r="B81">
        <v>510078385</v>
      </c>
      <c r="C81" s="60">
        <v>45931</v>
      </c>
      <c r="D81" t="s">
        <v>1167</v>
      </c>
      <c r="E81">
        <v>3350</v>
      </c>
      <c r="I81">
        <v>7509906941</v>
      </c>
      <c r="J81">
        <v>509906941</v>
      </c>
      <c r="L81" t="str">
        <f t="shared" si="1"/>
        <v>KI7510078385,</v>
      </c>
    </row>
    <row r="82" spans="1:12" hidden="1">
      <c r="A82" t="s">
        <v>1088</v>
      </c>
      <c r="B82">
        <v>510087544</v>
      </c>
      <c r="C82" s="60">
        <v>45931</v>
      </c>
      <c r="D82" t="s">
        <v>1167</v>
      </c>
      <c r="E82">
        <v>2215</v>
      </c>
      <c r="I82">
        <v>9011905046</v>
      </c>
      <c r="J82">
        <v>11905046</v>
      </c>
      <c r="L82" t="str">
        <f t="shared" si="1"/>
        <v>KI7510087544,</v>
      </c>
    </row>
    <row r="83" spans="1:12" hidden="1">
      <c r="A83" t="s">
        <v>1159</v>
      </c>
      <c r="B83">
        <v>511943078</v>
      </c>
      <c r="C83" s="60">
        <v>45931</v>
      </c>
      <c r="D83" t="s">
        <v>1167</v>
      </c>
      <c r="E83">
        <v>8399</v>
      </c>
      <c r="I83">
        <v>7509767359</v>
      </c>
      <c r="J83">
        <v>509767359</v>
      </c>
      <c r="L83" t="str">
        <f t="shared" si="1"/>
        <v>FS7511943078,</v>
      </c>
    </row>
    <row r="84" spans="1:12" hidden="1">
      <c r="A84" t="s">
        <v>1157</v>
      </c>
      <c r="B84">
        <v>511972287</v>
      </c>
      <c r="C84" s="60">
        <v>45931</v>
      </c>
      <c r="D84" t="s">
        <v>1167</v>
      </c>
      <c r="E84">
        <v>1399</v>
      </c>
      <c r="I84">
        <v>7511848960</v>
      </c>
      <c r="J84">
        <v>511848960</v>
      </c>
      <c r="L84" t="str">
        <f t="shared" si="1"/>
        <v>FS7511972287,</v>
      </c>
    </row>
    <row r="85" spans="1:12" hidden="1">
      <c r="A85" t="s">
        <v>1137</v>
      </c>
      <c r="B85">
        <v>511977826</v>
      </c>
      <c r="C85" s="60">
        <v>45931</v>
      </c>
      <c r="D85" t="s">
        <v>1167</v>
      </c>
      <c r="E85">
        <v>4500</v>
      </c>
      <c r="I85">
        <v>9011846802</v>
      </c>
      <c r="J85">
        <v>11846802</v>
      </c>
      <c r="L85" t="str">
        <f t="shared" si="1"/>
        <v>FS7511977826,</v>
      </c>
    </row>
    <row r="86" spans="1:12" hidden="1">
      <c r="A86" t="s">
        <v>1089</v>
      </c>
      <c r="B86">
        <v>511978431</v>
      </c>
      <c r="C86" s="60">
        <v>45931</v>
      </c>
      <c r="D86" t="s">
        <v>1167</v>
      </c>
      <c r="E86">
        <v>0</v>
      </c>
      <c r="I86">
        <v>9011895004</v>
      </c>
      <c r="J86">
        <v>11895004</v>
      </c>
      <c r="L86" t="str">
        <f t="shared" si="1"/>
        <v>FS7511978431,</v>
      </c>
    </row>
    <row r="87" spans="1:12" hidden="1">
      <c r="A87" t="s">
        <v>1097</v>
      </c>
      <c r="B87">
        <v>511980902</v>
      </c>
      <c r="C87" s="60">
        <v>45931</v>
      </c>
      <c r="D87" t="s">
        <v>1167</v>
      </c>
      <c r="E87">
        <v>2498</v>
      </c>
      <c r="I87">
        <v>7513704415</v>
      </c>
      <c r="J87">
        <v>513704415</v>
      </c>
      <c r="L87" t="str">
        <f t="shared" si="1"/>
        <v>FS7511980902,</v>
      </c>
    </row>
    <row r="88" spans="1:12" hidden="1">
      <c r="A88" t="s">
        <v>1119</v>
      </c>
      <c r="B88">
        <v>511983871</v>
      </c>
      <c r="C88" s="60">
        <v>45931</v>
      </c>
      <c r="D88" t="s">
        <v>1167</v>
      </c>
      <c r="E88">
        <v>1497</v>
      </c>
      <c r="I88">
        <v>7510771462</v>
      </c>
      <c r="J88">
        <v>510771462</v>
      </c>
      <c r="L88" t="str">
        <f t="shared" si="1"/>
        <v>FS7511983871,</v>
      </c>
    </row>
    <row r="89" spans="1:12" hidden="1">
      <c r="A89" t="s">
        <v>1147</v>
      </c>
      <c r="B89">
        <v>511987736</v>
      </c>
      <c r="C89" s="60">
        <v>45931</v>
      </c>
      <c r="D89" t="s">
        <v>1167</v>
      </c>
      <c r="E89">
        <v>0</v>
      </c>
      <c r="I89">
        <v>9011902976</v>
      </c>
      <c r="J89">
        <v>11902976</v>
      </c>
      <c r="L89" t="str">
        <f t="shared" si="1"/>
        <v>FS7511987736,</v>
      </c>
    </row>
    <row r="90" spans="1:12" hidden="1">
      <c r="A90" t="s">
        <v>1129</v>
      </c>
      <c r="B90">
        <v>511990830</v>
      </c>
      <c r="C90" s="60">
        <v>45931</v>
      </c>
      <c r="D90" t="s">
        <v>1167</v>
      </c>
      <c r="E90">
        <v>1800</v>
      </c>
      <c r="I90">
        <v>9011897148</v>
      </c>
      <c r="J90">
        <v>11897148</v>
      </c>
      <c r="L90" t="str">
        <f t="shared" si="1"/>
        <v>FS7511990830,</v>
      </c>
    </row>
    <row r="91" spans="1:12" hidden="1">
      <c r="A91" t="s">
        <v>1154</v>
      </c>
      <c r="B91">
        <v>511992475</v>
      </c>
      <c r="C91" s="60">
        <v>45931</v>
      </c>
      <c r="D91" t="s">
        <v>1167</v>
      </c>
      <c r="E91">
        <v>1000</v>
      </c>
      <c r="I91">
        <v>9011739562</v>
      </c>
      <c r="J91">
        <v>11739562</v>
      </c>
      <c r="L91" t="str">
        <f t="shared" si="1"/>
        <v>FS7511992475,</v>
      </c>
    </row>
    <row r="92" spans="1:12" hidden="1">
      <c r="A92" t="s">
        <v>1151</v>
      </c>
      <c r="B92">
        <v>511993008</v>
      </c>
      <c r="C92" s="60">
        <v>45931</v>
      </c>
      <c r="D92" t="s">
        <v>1167</v>
      </c>
      <c r="E92">
        <v>0</v>
      </c>
      <c r="I92">
        <v>9011898671</v>
      </c>
      <c r="J92">
        <v>11898671</v>
      </c>
      <c r="L92" t="str">
        <f t="shared" si="1"/>
        <v>FS7511993008,</v>
      </c>
    </row>
    <row r="93" spans="1:12" hidden="1">
      <c r="A93" t="s">
        <v>1117</v>
      </c>
      <c r="B93">
        <v>511993331</v>
      </c>
      <c r="C93" s="60">
        <v>45931</v>
      </c>
      <c r="D93" t="s">
        <v>1167</v>
      </c>
      <c r="E93">
        <v>4250</v>
      </c>
      <c r="I93">
        <v>9011892637</v>
      </c>
      <c r="J93">
        <v>11892637</v>
      </c>
      <c r="L93" t="str">
        <f t="shared" si="1"/>
        <v>FS7511993331,</v>
      </c>
    </row>
    <row r="94" spans="1:12" hidden="1">
      <c r="A94" t="s">
        <v>1138</v>
      </c>
      <c r="B94">
        <v>512355023</v>
      </c>
      <c r="C94" s="60">
        <v>45931</v>
      </c>
      <c r="D94" t="s">
        <v>1167</v>
      </c>
      <c r="E94">
        <v>3800</v>
      </c>
      <c r="I94">
        <v>9011553426</v>
      </c>
      <c r="J94">
        <v>11553426</v>
      </c>
      <c r="L94" t="str">
        <f t="shared" si="1"/>
        <v>FS7512355023,</v>
      </c>
    </row>
    <row r="95" spans="1:12" hidden="1">
      <c r="A95" t="s">
        <v>1165</v>
      </c>
      <c r="B95">
        <v>512356212</v>
      </c>
      <c r="C95" s="60">
        <v>45931</v>
      </c>
      <c r="D95" t="s">
        <v>1167</v>
      </c>
      <c r="E95">
        <v>3100</v>
      </c>
      <c r="I95">
        <v>9011891859</v>
      </c>
      <c r="J95">
        <v>11891859</v>
      </c>
      <c r="L95" t="str">
        <f t="shared" si="1"/>
        <v>FS7512356212,</v>
      </c>
    </row>
    <row r="96" spans="1:12" hidden="1">
      <c r="A96" t="s">
        <v>1156</v>
      </c>
      <c r="B96">
        <v>513831786</v>
      </c>
      <c r="C96" s="60">
        <v>45931</v>
      </c>
      <c r="D96" t="s">
        <v>1167</v>
      </c>
      <c r="E96">
        <v>8047</v>
      </c>
      <c r="I96">
        <v>7509904081</v>
      </c>
      <c r="J96">
        <v>509904081</v>
      </c>
      <c r="L96" t="str">
        <f t="shared" si="1"/>
        <v>AM7513831786,</v>
      </c>
    </row>
    <row r="97" spans="1:12" hidden="1">
      <c r="A97" t="s">
        <v>1161</v>
      </c>
      <c r="B97">
        <v>514131691</v>
      </c>
      <c r="C97" s="60">
        <v>45931</v>
      </c>
      <c r="D97" t="s">
        <v>1167</v>
      </c>
      <c r="E97">
        <v>2299</v>
      </c>
      <c r="I97">
        <v>9011909917</v>
      </c>
      <c r="J97">
        <v>11909917</v>
      </c>
      <c r="L97" t="str">
        <f t="shared" si="1"/>
        <v>SA7514131691,</v>
      </c>
    </row>
    <row r="98" spans="1:12" hidden="1">
      <c r="A98" t="s">
        <v>1153</v>
      </c>
      <c r="B98">
        <v>514132292</v>
      </c>
      <c r="C98" s="60">
        <v>45931</v>
      </c>
      <c r="D98" t="s">
        <v>1167</v>
      </c>
      <c r="E98">
        <v>1550</v>
      </c>
      <c r="I98">
        <v>60876039</v>
      </c>
      <c r="J98">
        <v>60876039</v>
      </c>
      <c r="L98" t="str">
        <f t="shared" si="1"/>
        <v>SA7514132292,</v>
      </c>
    </row>
    <row r="99" spans="1:12" hidden="1">
      <c r="A99" t="s">
        <v>1123</v>
      </c>
      <c r="B99">
        <v>514177846</v>
      </c>
      <c r="C99" s="60">
        <v>45931</v>
      </c>
      <c r="D99" t="s">
        <v>1167</v>
      </c>
      <c r="E99">
        <v>2500</v>
      </c>
      <c r="I99">
        <v>9011898513</v>
      </c>
      <c r="J99">
        <v>11898513</v>
      </c>
      <c r="L99" t="str">
        <f t="shared" si="1"/>
        <v>SP7514177846,</v>
      </c>
    </row>
    <row r="100" spans="1:12" hidden="1">
      <c r="A100" t="s">
        <v>1239</v>
      </c>
      <c r="B100">
        <v>11757905</v>
      </c>
      <c r="C100" s="60">
        <v>45932</v>
      </c>
      <c r="D100" t="s">
        <v>1266</v>
      </c>
      <c r="E100">
        <v>4302</v>
      </c>
      <c r="I100">
        <v>9011893856</v>
      </c>
      <c r="J100">
        <v>11893856</v>
      </c>
      <c r="L100" t="str">
        <f t="shared" si="1"/>
        <v>DI9011757905,</v>
      </c>
    </row>
    <row r="101" spans="1:12" hidden="1">
      <c r="A101" t="s">
        <v>1221</v>
      </c>
      <c r="B101">
        <v>11761309</v>
      </c>
      <c r="C101" s="60">
        <v>45932</v>
      </c>
      <c r="D101" t="s">
        <v>1266</v>
      </c>
      <c r="E101">
        <v>667</v>
      </c>
      <c r="I101">
        <v>9011901605</v>
      </c>
      <c r="J101">
        <v>11901605</v>
      </c>
      <c r="L101" t="str">
        <f t="shared" si="1"/>
        <v>DG9011761309,</v>
      </c>
    </row>
    <row r="102" spans="1:12" hidden="1">
      <c r="A102" t="s">
        <v>1213</v>
      </c>
      <c r="B102">
        <v>11762136</v>
      </c>
      <c r="C102" s="60">
        <v>45932</v>
      </c>
      <c r="D102" t="s">
        <v>1266</v>
      </c>
      <c r="E102">
        <v>0</v>
      </c>
      <c r="I102">
        <v>7504063817</v>
      </c>
      <c r="J102">
        <v>504063817</v>
      </c>
      <c r="L102" t="str">
        <f t="shared" si="1"/>
        <v>LE9011762136,</v>
      </c>
    </row>
    <row r="103" spans="1:12" hidden="1">
      <c r="A103" t="s">
        <v>1197</v>
      </c>
      <c r="B103">
        <v>11765940</v>
      </c>
      <c r="C103" s="60">
        <v>45932</v>
      </c>
      <c r="D103" t="s">
        <v>1266</v>
      </c>
      <c r="E103">
        <v>1099</v>
      </c>
      <c r="I103">
        <v>9011897725</v>
      </c>
      <c r="J103">
        <v>11897725</v>
      </c>
      <c r="L103" t="str">
        <f t="shared" si="1"/>
        <v>GW9011765940,</v>
      </c>
    </row>
    <row r="104" spans="1:12" hidden="1">
      <c r="A104" t="s">
        <v>1170</v>
      </c>
      <c r="B104">
        <v>12121235</v>
      </c>
      <c r="C104" s="60">
        <v>45932</v>
      </c>
      <c r="D104" t="s">
        <v>1266</v>
      </c>
      <c r="E104">
        <v>530</v>
      </c>
      <c r="I104">
        <v>9011911477</v>
      </c>
      <c r="J104">
        <v>11911477</v>
      </c>
      <c r="L104" t="str">
        <f t="shared" si="1"/>
        <v>LE9012121235,</v>
      </c>
    </row>
    <row r="105" spans="1:12" hidden="1">
      <c r="A105" t="s">
        <v>1245</v>
      </c>
      <c r="B105">
        <v>12122828</v>
      </c>
      <c r="C105" s="60">
        <v>45932</v>
      </c>
      <c r="D105" t="s">
        <v>1266</v>
      </c>
      <c r="E105">
        <v>1229</v>
      </c>
      <c r="I105">
        <v>7507880050</v>
      </c>
      <c r="J105">
        <v>507880050</v>
      </c>
      <c r="L105" t="str">
        <f t="shared" si="1"/>
        <v>LE9012122828,</v>
      </c>
    </row>
    <row r="106" spans="1:12" hidden="1">
      <c r="A106" t="s">
        <v>1251</v>
      </c>
      <c r="B106">
        <v>12123608</v>
      </c>
      <c r="C106" s="60">
        <v>45932</v>
      </c>
      <c r="D106" t="s">
        <v>1266</v>
      </c>
      <c r="E106">
        <v>625</v>
      </c>
      <c r="I106">
        <v>7509911180</v>
      </c>
      <c r="J106">
        <v>509911180</v>
      </c>
      <c r="L106" t="str">
        <f t="shared" si="1"/>
        <v>KI9012123608,</v>
      </c>
    </row>
    <row r="107" spans="1:12" hidden="1">
      <c r="A107" t="s">
        <v>1196</v>
      </c>
      <c r="B107">
        <v>12126363</v>
      </c>
      <c r="C107" s="60">
        <v>45932</v>
      </c>
      <c r="D107" t="s">
        <v>1266</v>
      </c>
      <c r="E107">
        <v>429</v>
      </c>
      <c r="I107">
        <v>9011888999</v>
      </c>
      <c r="J107">
        <v>11888999</v>
      </c>
      <c r="L107" t="str">
        <f t="shared" si="1"/>
        <v>KI9012126363,</v>
      </c>
    </row>
    <row r="108" spans="1:12" hidden="1">
      <c r="A108" t="s">
        <v>1200</v>
      </c>
      <c r="B108">
        <v>12128656</v>
      </c>
      <c r="C108" s="60">
        <v>45932</v>
      </c>
      <c r="D108" t="s">
        <v>1266</v>
      </c>
      <c r="E108">
        <v>673</v>
      </c>
      <c r="I108">
        <v>9011903285</v>
      </c>
      <c r="J108">
        <v>11903285</v>
      </c>
      <c r="L108" t="str">
        <f t="shared" si="1"/>
        <v>KI9012128656,</v>
      </c>
    </row>
    <row r="109" spans="1:12" hidden="1">
      <c r="A109" t="s">
        <v>1246</v>
      </c>
      <c r="B109">
        <v>12128718</v>
      </c>
      <c r="C109" s="60">
        <v>45932</v>
      </c>
      <c r="D109" t="s">
        <v>1266</v>
      </c>
      <c r="E109">
        <v>1716</v>
      </c>
      <c r="I109">
        <v>9011551904</v>
      </c>
      <c r="J109">
        <v>11551904</v>
      </c>
      <c r="L109" t="str">
        <f t="shared" si="1"/>
        <v>KI9012128718,</v>
      </c>
    </row>
    <row r="110" spans="1:12" hidden="1">
      <c r="A110" t="s">
        <v>1188</v>
      </c>
      <c r="B110">
        <v>12129897</v>
      </c>
      <c r="C110" s="60">
        <v>45932</v>
      </c>
      <c r="D110" t="s">
        <v>1266</v>
      </c>
      <c r="E110">
        <v>1095</v>
      </c>
      <c r="I110">
        <v>7503064993</v>
      </c>
      <c r="J110">
        <v>503064993</v>
      </c>
      <c r="L110" t="str">
        <f t="shared" si="1"/>
        <v>SZ9012129897,</v>
      </c>
    </row>
    <row r="111" spans="1:12" hidden="1">
      <c r="A111" t="s">
        <v>1168</v>
      </c>
      <c r="B111">
        <v>12131624</v>
      </c>
      <c r="C111" s="60">
        <v>45932</v>
      </c>
      <c r="D111" t="s">
        <v>1266</v>
      </c>
      <c r="E111">
        <v>1089</v>
      </c>
      <c r="I111">
        <v>7506946406</v>
      </c>
      <c r="J111">
        <v>506946406</v>
      </c>
      <c r="L111" t="str">
        <f t="shared" si="1"/>
        <v>LE9012131624,</v>
      </c>
    </row>
    <row r="112" spans="1:12" hidden="1">
      <c r="A112" t="s">
        <v>1201</v>
      </c>
      <c r="B112">
        <v>12133258</v>
      </c>
      <c r="C112" s="60">
        <v>45932</v>
      </c>
      <c r="D112" t="s">
        <v>1266</v>
      </c>
      <c r="E112">
        <v>0</v>
      </c>
      <c r="I112">
        <v>9011893114</v>
      </c>
      <c r="J112">
        <v>11893114</v>
      </c>
      <c r="L112" t="str">
        <f t="shared" si="1"/>
        <v>FS9012133258,</v>
      </c>
    </row>
    <row r="113" spans="1:12" hidden="1">
      <c r="A113" t="s">
        <v>1209</v>
      </c>
      <c r="B113">
        <v>12133592</v>
      </c>
      <c r="C113" s="60">
        <v>45932</v>
      </c>
      <c r="D113" t="s">
        <v>1266</v>
      </c>
      <c r="E113">
        <v>469</v>
      </c>
      <c r="I113">
        <v>7511920044</v>
      </c>
      <c r="J113">
        <v>511920044</v>
      </c>
      <c r="L113" t="str">
        <f t="shared" si="1"/>
        <v>LE9012133592,</v>
      </c>
    </row>
    <row r="114" spans="1:12" hidden="1">
      <c r="A114" t="s">
        <v>1210</v>
      </c>
      <c r="B114">
        <v>12134910</v>
      </c>
      <c r="C114" s="60">
        <v>45932</v>
      </c>
      <c r="D114" t="s">
        <v>1266</v>
      </c>
      <c r="E114">
        <v>1098</v>
      </c>
      <c r="I114">
        <v>9011900778</v>
      </c>
      <c r="J114">
        <v>11900778</v>
      </c>
      <c r="L114" t="str">
        <f t="shared" si="1"/>
        <v>KI9012134910,</v>
      </c>
    </row>
    <row r="115" spans="1:12" hidden="1">
      <c r="A115" t="s">
        <v>1215</v>
      </c>
      <c r="B115">
        <v>12135033</v>
      </c>
      <c r="C115" s="60">
        <v>45932</v>
      </c>
      <c r="D115" t="s">
        <v>1266</v>
      </c>
      <c r="E115">
        <v>349</v>
      </c>
      <c r="I115">
        <v>7509925791</v>
      </c>
      <c r="J115">
        <v>509925791</v>
      </c>
      <c r="L115" t="str">
        <f t="shared" si="1"/>
        <v>KI9012135033,</v>
      </c>
    </row>
    <row r="116" spans="1:12" hidden="1">
      <c r="A116" t="s">
        <v>1169</v>
      </c>
      <c r="B116">
        <v>12135124</v>
      </c>
      <c r="C116" s="60">
        <v>45932</v>
      </c>
      <c r="D116" t="s">
        <v>1266</v>
      </c>
      <c r="E116">
        <v>282</v>
      </c>
      <c r="I116">
        <v>9011856737</v>
      </c>
      <c r="J116">
        <v>11856737</v>
      </c>
      <c r="L116" t="str">
        <f t="shared" si="1"/>
        <v>KI9012135124,</v>
      </c>
    </row>
    <row r="117" spans="1:12" hidden="1">
      <c r="A117" t="s">
        <v>1207</v>
      </c>
      <c r="B117">
        <v>12135722</v>
      </c>
      <c r="C117" s="60">
        <v>45932</v>
      </c>
      <c r="D117" t="s">
        <v>1266</v>
      </c>
      <c r="E117">
        <v>441</v>
      </c>
      <c r="I117">
        <v>9011891991</v>
      </c>
      <c r="J117">
        <v>11891991</v>
      </c>
      <c r="L117" t="str">
        <f t="shared" si="1"/>
        <v>KI9012135722,</v>
      </c>
    </row>
    <row r="118" spans="1:12" hidden="1">
      <c r="A118" t="s">
        <v>1190</v>
      </c>
      <c r="B118">
        <v>12135906</v>
      </c>
      <c r="C118" s="60">
        <v>45932</v>
      </c>
      <c r="D118" t="s">
        <v>1266</v>
      </c>
      <c r="E118">
        <v>0</v>
      </c>
      <c r="I118">
        <v>9011897249</v>
      </c>
      <c r="J118">
        <v>11897249</v>
      </c>
      <c r="L118" t="str">
        <f t="shared" si="1"/>
        <v>KI9012135906,</v>
      </c>
    </row>
    <row r="119" spans="1:12" hidden="1">
      <c r="A119" t="s">
        <v>1179</v>
      </c>
      <c r="B119">
        <v>12136331</v>
      </c>
      <c r="C119" s="60">
        <v>45932</v>
      </c>
      <c r="D119" t="s">
        <v>1266</v>
      </c>
      <c r="E119">
        <v>1538</v>
      </c>
      <c r="I119">
        <v>7511906564</v>
      </c>
      <c r="J119">
        <v>511906564</v>
      </c>
      <c r="L119" t="str">
        <f t="shared" si="1"/>
        <v>KI9012136331,</v>
      </c>
    </row>
    <row r="120" spans="1:12" hidden="1">
      <c r="A120" t="s">
        <v>1180</v>
      </c>
      <c r="B120">
        <v>12137064</v>
      </c>
      <c r="C120" s="60">
        <v>45932</v>
      </c>
      <c r="D120" t="s">
        <v>1266</v>
      </c>
      <c r="E120">
        <v>1029</v>
      </c>
      <c r="I120">
        <v>9011908369</v>
      </c>
      <c r="J120">
        <v>11908369</v>
      </c>
      <c r="L120" t="str">
        <f t="shared" si="1"/>
        <v>LE9012137064,</v>
      </c>
    </row>
    <row r="121" spans="1:12" hidden="1">
      <c r="A121" t="s">
        <v>1198</v>
      </c>
      <c r="B121">
        <v>12138099</v>
      </c>
      <c r="C121" s="60">
        <v>45932</v>
      </c>
      <c r="D121" t="s">
        <v>1266</v>
      </c>
      <c r="E121">
        <v>429</v>
      </c>
      <c r="I121">
        <v>7510747223</v>
      </c>
      <c r="J121">
        <v>510747223</v>
      </c>
      <c r="L121" t="str">
        <f t="shared" si="1"/>
        <v>KI9012138099,</v>
      </c>
    </row>
    <row r="122" spans="1:12" hidden="1">
      <c r="A122" t="s">
        <v>1185</v>
      </c>
      <c r="B122">
        <v>12138805</v>
      </c>
      <c r="C122" s="60">
        <v>45932</v>
      </c>
      <c r="D122" t="s">
        <v>1266</v>
      </c>
      <c r="E122">
        <v>488</v>
      </c>
      <c r="I122">
        <v>9011889017</v>
      </c>
      <c r="J122">
        <v>11889017</v>
      </c>
      <c r="L122" t="str">
        <f t="shared" si="1"/>
        <v>KI9012138805,</v>
      </c>
    </row>
    <row r="123" spans="1:12" hidden="1">
      <c r="A123" t="s">
        <v>1231</v>
      </c>
      <c r="B123">
        <v>12139740</v>
      </c>
      <c r="C123" s="60">
        <v>45932</v>
      </c>
      <c r="D123" t="s">
        <v>1266</v>
      </c>
      <c r="E123">
        <v>496</v>
      </c>
      <c r="I123">
        <v>9011912948</v>
      </c>
      <c r="J123">
        <v>11912948</v>
      </c>
      <c r="L123" t="str">
        <f t="shared" si="1"/>
        <v>KI9012139740,</v>
      </c>
    </row>
    <row r="124" spans="1:12" hidden="1">
      <c r="A124" t="s">
        <v>1228</v>
      </c>
      <c r="B124">
        <v>12140684</v>
      </c>
      <c r="C124" s="60">
        <v>45932</v>
      </c>
      <c r="D124" t="s">
        <v>1266</v>
      </c>
      <c r="E124">
        <v>0</v>
      </c>
      <c r="I124">
        <v>7510776895</v>
      </c>
      <c r="J124">
        <v>510776895</v>
      </c>
      <c r="L124" t="str">
        <f t="shared" si="1"/>
        <v>KI9012140684,</v>
      </c>
    </row>
    <row r="125" spans="1:12" hidden="1">
      <c r="A125" t="s">
        <v>1191</v>
      </c>
      <c r="B125">
        <v>12140911</v>
      </c>
      <c r="C125" s="60">
        <v>45932</v>
      </c>
      <c r="D125" t="s">
        <v>1266</v>
      </c>
      <c r="E125">
        <v>919</v>
      </c>
      <c r="I125">
        <v>7509914937</v>
      </c>
      <c r="J125">
        <v>509914937</v>
      </c>
      <c r="L125" t="str">
        <f t="shared" si="1"/>
        <v>KI9012140911,</v>
      </c>
    </row>
    <row r="126" spans="1:12" hidden="1">
      <c r="A126" t="s">
        <v>1252</v>
      </c>
      <c r="B126">
        <v>12141062</v>
      </c>
      <c r="C126" s="60">
        <v>45932</v>
      </c>
      <c r="D126" t="s">
        <v>1266</v>
      </c>
      <c r="E126">
        <v>629</v>
      </c>
      <c r="I126">
        <v>9011894632</v>
      </c>
      <c r="J126">
        <v>11894632</v>
      </c>
      <c r="L126" t="str">
        <f t="shared" si="1"/>
        <v>KI9012141062,</v>
      </c>
    </row>
    <row r="127" spans="1:12" hidden="1">
      <c r="A127" t="s">
        <v>1248</v>
      </c>
      <c r="B127">
        <v>12141360</v>
      </c>
      <c r="C127" s="60">
        <v>45932</v>
      </c>
      <c r="D127" t="s">
        <v>1266</v>
      </c>
      <c r="E127">
        <v>914</v>
      </c>
      <c r="I127">
        <v>60875035</v>
      </c>
      <c r="J127">
        <v>60875035</v>
      </c>
      <c r="L127" t="str">
        <f t="shared" si="1"/>
        <v>KI9012141360,</v>
      </c>
    </row>
    <row r="128" spans="1:12" hidden="1">
      <c r="A128" t="s">
        <v>1255</v>
      </c>
      <c r="B128">
        <v>12141394</v>
      </c>
      <c r="C128" s="60">
        <v>45932</v>
      </c>
      <c r="D128" t="s">
        <v>1266</v>
      </c>
      <c r="E128">
        <v>0</v>
      </c>
      <c r="I128">
        <v>9011908207</v>
      </c>
      <c r="J128">
        <v>11908207</v>
      </c>
      <c r="L128" t="str">
        <f t="shared" si="1"/>
        <v>SL9012141394,</v>
      </c>
    </row>
    <row r="129" spans="1:12" hidden="1">
      <c r="A129" t="s">
        <v>1192</v>
      </c>
      <c r="B129">
        <v>12141604</v>
      </c>
      <c r="C129" s="60">
        <v>45932</v>
      </c>
      <c r="D129" t="s">
        <v>1266</v>
      </c>
      <c r="E129">
        <v>970</v>
      </c>
      <c r="I129">
        <v>9011892259</v>
      </c>
      <c r="J129">
        <v>11892259</v>
      </c>
      <c r="L129" t="str">
        <f t="shared" si="1"/>
        <v>VR9012141604,</v>
      </c>
    </row>
    <row r="130" spans="1:12" hidden="1">
      <c r="A130" t="s">
        <v>1265</v>
      </c>
      <c r="B130">
        <v>12141771</v>
      </c>
      <c r="C130" s="60">
        <v>45932</v>
      </c>
      <c r="D130" t="s">
        <v>1266</v>
      </c>
      <c r="E130">
        <v>479</v>
      </c>
      <c r="I130">
        <v>9011894373</v>
      </c>
      <c r="J130">
        <v>11894373</v>
      </c>
      <c r="L130" t="str">
        <f t="shared" si="1"/>
        <v>LE9012141771,</v>
      </c>
    </row>
    <row r="131" spans="1:12" hidden="1">
      <c r="A131" t="s">
        <v>1235</v>
      </c>
      <c r="B131">
        <v>12142160</v>
      </c>
      <c r="C131" s="60">
        <v>45932</v>
      </c>
      <c r="D131" t="s">
        <v>1266</v>
      </c>
      <c r="E131">
        <v>2801</v>
      </c>
      <c r="I131">
        <v>7513071607</v>
      </c>
      <c r="J131">
        <v>513071607</v>
      </c>
      <c r="L131" t="str">
        <f t="shared" ref="L131:L194" si="2">""&amp;A131&amp;","</f>
        <v>LE9012142160,</v>
      </c>
    </row>
    <row r="132" spans="1:12" hidden="1">
      <c r="A132" t="s">
        <v>1189</v>
      </c>
      <c r="B132">
        <v>12142218</v>
      </c>
      <c r="C132" s="60">
        <v>45932</v>
      </c>
      <c r="D132" t="s">
        <v>1266</v>
      </c>
      <c r="E132">
        <v>335</v>
      </c>
      <c r="I132">
        <v>7506945573</v>
      </c>
      <c r="J132">
        <v>506945573</v>
      </c>
      <c r="L132" t="str">
        <f t="shared" si="2"/>
        <v>KI9012142218,</v>
      </c>
    </row>
    <row r="133" spans="1:12" hidden="1">
      <c r="A133" t="s">
        <v>1206</v>
      </c>
      <c r="B133">
        <v>12142248</v>
      </c>
      <c r="C133" s="60">
        <v>45932</v>
      </c>
      <c r="D133" t="s">
        <v>1266</v>
      </c>
      <c r="E133">
        <v>713</v>
      </c>
      <c r="I133">
        <v>7509912193</v>
      </c>
      <c r="J133">
        <v>509912193</v>
      </c>
      <c r="L133" t="str">
        <f t="shared" si="2"/>
        <v>KI9012142248,</v>
      </c>
    </row>
    <row r="134" spans="1:12" hidden="1">
      <c r="A134" t="s">
        <v>1234</v>
      </c>
      <c r="B134">
        <v>12143315</v>
      </c>
      <c r="C134" s="60">
        <v>45932</v>
      </c>
      <c r="D134" t="s">
        <v>1266</v>
      </c>
      <c r="E134">
        <v>786</v>
      </c>
      <c r="I134">
        <v>7510763070</v>
      </c>
      <c r="J134">
        <v>510763070</v>
      </c>
      <c r="L134" t="str">
        <f t="shared" si="2"/>
        <v>LE9012143315,</v>
      </c>
    </row>
    <row r="135" spans="1:12" hidden="1">
      <c r="A135" t="s">
        <v>1208</v>
      </c>
      <c r="B135">
        <v>12144100</v>
      </c>
      <c r="C135" s="60">
        <v>45932</v>
      </c>
      <c r="D135" t="s">
        <v>1266</v>
      </c>
      <c r="E135">
        <v>491</v>
      </c>
      <c r="I135">
        <v>7511907784</v>
      </c>
      <c r="J135">
        <v>511907784</v>
      </c>
      <c r="L135" t="str">
        <f t="shared" si="2"/>
        <v>KI9012144100,</v>
      </c>
    </row>
    <row r="136" spans="1:12" hidden="1">
      <c r="A136" t="s">
        <v>1176</v>
      </c>
      <c r="B136">
        <v>12144241</v>
      </c>
      <c r="C136" s="60">
        <v>45932</v>
      </c>
      <c r="D136" t="s">
        <v>1266</v>
      </c>
      <c r="E136">
        <v>2027</v>
      </c>
      <c r="I136">
        <v>7506698858</v>
      </c>
      <c r="J136">
        <v>506698858</v>
      </c>
      <c r="L136" t="str">
        <f t="shared" si="2"/>
        <v>KI9012144241,</v>
      </c>
    </row>
    <row r="137" spans="1:12" hidden="1">
      <c r="A137" t="s">
        <v>1222</v>
      </c>
      <c r="B137">
        <v>12144625</v>
      </c>
      <c r="C137" s="60">
        <v>45932</v>
      </c>
      <c r="D137" t="s">
        <v>1266</v>
      </c>
      <c r="E137">
        <v>2680</v>
      </c>
      <c r="I137">
        <v>7503748155</v>
      </c>
      <c r="J137">
        <v>503748155</v>
      </c>
      <c r="L137" t="str">
        <f t="shared" si="2"/>
        <v>LE9012144625,</v>
      </c>
    </row>
    <row r="138" spans="1:12" hidden="1">
      <c r="A138" t="s">
        <v>1195</v>
      </c>
      <c r="B138">
        <v>12144810</v>
      </c>
      <c r="C138" s="60">
        <v>45932</v>
      </c>
      <c r="D138" t="s">
        <v>1266</v>
      </c>
      <c r="E138">
        <v>1380</v>
      </c>
      <c r="I138">
        <v>9011894711</v>
      </c>
      <c r="J138">
        <v>11894711</v>
      </c>
      <c r="L138" t="str">
        <f t="shared" si="2"/>
        <v>LE9012144810,</v>
      </c>
    </row>
    <row r="139" spans="1:12" hidden="1">
      <c r="A139" t="s">
        <v>1178</v>
      </c>
      <c r="B139">
        <v>12144904</v>
      </c>
      <c r="C139" s="60">
        <v>45932</v>
      </c>
      <c r="D139" t="s">
        <v>1266</v>
      </c>
      <c r="E139">
        <v>830</v>
      </c>
      <c r="I139">
        <v>9011821813</v>
      </c>
      <c r="J139">
        <v>11821813</v>
      </c>
      <c r="L139" t="str">
        <f t="shared" si="2"/>
        <v>KI9012144904,</v>
      </c>
    </row>
    <row r="140" spans="1:12" hidden="1">
      <c r="A140" t="s">
        <v>1244</v>
      </c>
      <c r="B140">
        <v>12145566</v>
      </c>
      <c r="C140" s="60">
        <v>45932</v>
      </c>
      <c r="D140" t="s">
        <v>1266</v>
      </c>
      <c r="E140">
        <v>0</v>
      </c>
      <c r="I140">
        <v>7506698797</v>
      </c>
      <c r="J140">
        <v>506698797</v>
      </c>
      <c r="L140" t="str">
        <f t="shared" si="2"/>
        <v>SL9012145566,</v>
      </c>
    </row>
    <row r="141" spans="1:12" hidden="1">
      <c r="A141" t="s">
        <v>1258</v>
      </c>
      <c r="B141">
        <v>12147959</v>
      </c>
      <c r="C141" s="60">
        <v>45932</v>
      </c>
      <c r="D141" t="s">
        <v>1266</v>
      </c>
      <c r="E141">
        <v>667</v>
      </c>
      <c r="L141" t="str">
        <f t="shared" si="2"/>
        <v>MX9012147959,</v>
      </c>
    </row>
    <row r="142" spans="1:12" hidden="1">
      <c r="A142" t="s">
        <v>1183</v>
      </c>
      <c r="B142">
        <v>12148392</v>
      </c>
      <c r="C142" s="60">
        <v>45932</v>
      </c>
      <c r="D142" t="s">
        <v>1266</v>
      </c>
      <c r="E142">
        <v>861</v>
      </c>
      <c r="L142" t="str">
        <f t="shared" si="2"/>
        <v>FS9012148392,</v>
      </c>
    </row>
    <row r="143" spans="1:12" hidden="1">
      <c r="A143" t="s">
        <v>1238</v>
      </c>
      <c r="B143">
        <v>12149015</v>
      </c>
      <c r="C143" s="60">
        <v>45932</v>
      </c>
      <c r="D143" t="s">
        <v>1266</v>
      </c>
      <c r="E143">
        <v>699</v>
      </c>
      <c r="L143" t="str">
        <f t="shared" si="2"/>
        <v>ID9012149015,</v>
      </c>
    </row>
    <row r="144" spans="1:12" hidden="1">
      <c r="A144" t="s">
        <v>1172</v>
      </c>
      <c r="B144">
        <v>12151693</v>
      </c>
      <c r="C144" s="60">
        <v>45932</v>
      </c>
      <c r="D144" t="s">
        <v>1266</v>
      </c>
      <c r="E144">
        <v>0</v>
      </c>
      <c r="L144" t="str">
        <f t="shared" si="2"/>
        <v>AT9012151693,</v>
      </c>
    </row>
    <row r="145" spans="1:12" hidden="1">
      <c r="A145" t="s">
        <v>1217</v>
      </c>
      <c r="B145">
        <v>12151805</v>
      </c>
      <c r="C145" s="60">
        <v>45932</v>
      </c>
      <c r="D145" t="s">
        <v>1266</v>
      </c>
      <c r="E145">
        <v>579</v>
      </c>
      <c r="L145" t="str">
        <f t="shared" si="2"/>
        <v>RN9012151805,</v>
      </c>
    </row>
    <row r="146" spans="1:12" hidden="1">
      <c r="A146" t="s">
        <v>1203</v>
      </c>
      <c r="B146">
        <v>60884674</v>
      </c>
      <c r="C146" s="60">
        <v>45932</v>
      </c>
      <c r="D146" t="s">
        <v>1266</v>
      </c>
      <c r="E146">
        <v>11000</v>
      </c>
      <c r="L146" t="str">
        <f t="shared" si="2"/>
        <v>LE0060884674,</v>
      </c>
    </row>
    <row r="147" spans="1:12" hidden="1">
      <c r="A147" t="s">
        <v>1261</v>
      </c>
      <c r="B147">
        <v>60888757</v>
      </c>
      <c r="C147" s="60">
        <v>45932</v>
      </c>
      <c r="D147" t="s">
        <v>1266</v>
      </c>
      <c r="E147">
        <v>2650</v>
      </c>
      <c r="L147" t="str">
        <f t="shared" si="2"/>
        <v>RW0060888757,</v>
      </c>
    </row>
    <row r="148" spans="1:12" hidden="1">
      <c r="A148" t="s">
        <v>1212</v>
      </c>
      <c r="B148">
        <v>69918737</v>
      </c>
      <c r="C148" s="60">
        <v>45932</v>
      </c>
      <c r="D148" t="s">
        <v>1266</v>
      </c>
      <c r="E148">
        <v>3500</v>
      </c>
      <c r="L148" t="str">
        <f t="shared" si="2"/>
        <v>KI0069918737,</v>
      </c>
    </row>
    <row r="149" spans="1:12" hidden="1">
      <c r="A149" t="s">
        <v>1177</v>
      </c>
      <c r="B149">
        <v>500676906</v>
      </c>
      <c r="C149" s="60">
        <v>45932</v>
      </c>
      <c r="D149" t="s">
        <v>1266</v>
      </c>
      <c r="E149">
        <v>0</v>
      </c>
      <c r="L149" t="str">
        <f t="shared" si="2"/>
        <v>KI7500676906,</v>
      </c>
    </row>
    <row r="150" spans="1:12" hidden="1">
      <c r="A150" t="s">
        <v>1214</v>
      </c>
      <c r="B150">
        <v>500677503</v>
      </c>
      <c r="C150" s="60">
        <v>45932</v>
      </c>
      <c r="D150" t="s">
        <v>1266</v>
      </c>
      <c r="E150">
        <v>1700</v>
      </c>
      <c r="L150" t="str">
        <f t="shared" si="2"/>
        <v>KI7500677503,</v>
      </c>
    </row>
    <row r="151" spans="1:12" hidden="1">
      <c r="A151" t="s">
        <v>1236</v>
      </c>
      <c r="B151">
        <v>506187677</v>
      </c>
      <c r="C151" s="60">
        <v>45932</v>
      </c>
      <c r="D151" t="s">
        <v>1266</v>
      </c>
      <c r="E151">
        <v>8849</v>
      </c>
      <c r="L151" t="str">
        <f t="shared" si="2"/>
        <v>KI7506187677,</v>
      </c>
    </row>
    <row r="152" spans="1:12" hidden="1">
      <c r="A152" t="s">
        <v>1232</v>
      </c>
      <c r="B152">
        <v>506193319</v>
      </c>
      <c r="C152" s="60">
        <v>45932</v>
      </c>
      <c r="D152" t="s">
        <v>1266</v>
      </c>
      <c r="E152">
        <v>23129</v>
      </c>
      <c r="L152" t="str">
        <f t="shared" si="2"/>
        <v>KI7506193319,</v>
      </c>
    </row>
    <row r="153" spans="1:12" hidden="1">
      <c r="A153" t="s">
        <v>1173</v>
      </c>
      <c r="B153">
        <v>506195487</v>
      </c>
      <c r="C153" s="60">
        <v>45932</v>
      </c>
      <c r="D153" t="s">
        <v>1266</v>
      </c>
      <c r="E153">
        <v>0</v>
      </c>
      <c r="L153" t="str">
        <f t="shared" si="2"/>
        <v>KI7506195487,</v>
      </c>
    </row>
    <row r="154" spans="1:12" hidden="1">
      <c r="A154" t="s">
        <v>1257</v>
      </c>
      <c r="B154">
        <v>506199105</v>
      </c>
      <c r="C154" s="60">
        <v>45932</v>
      </c>
      <c r="D154" t="s">
        <v>1266</v>
      </c>
      <c r="E154">
        <v>6100</v>
      </c>
      <c r="L154" t="str">
        <f t="shared" si="2"/>
        <v>KI7506199105,</v>
      </c>
    </row>
    <row r="155" spans="1:12" hidden="1">
      <c r="A155" t="s">
        <v>1247</v>
      </c>
      <c r="B155">
        <v>506201633</v>
      </c>
      <c r="C155" s="60">
        <v>45932</v>
      </c>
      <c r="D155" t="s">
        <v>1266</v>
      </c>
      <c r="E155">
        <v>3200</v>
      </c>
      <c r="L155" t="str">
        <f t="shared" si="2"/>
        <v>KI7506201633,</v>
      </c>
    </row>
    <row r="156" spans="1:12" hidden="1">
      <c r="A156" t="s">
        <v>1260</v>
      </c>
      <c r="B156">
        <v>506206354</v>
      </c>
      <c r="C156" s="60">
        <v>45932</v>
      </c>
      <c r="D156" t="s">
        <v>1266</v>
      </c>
      <c r="E156">
        <v>0</v>
      </c>
      <c r="L156" t="str">
        <f t="shared" si="2"/>
        <v>KI7506206354,</v>
      </c>
    </row>
    <row r="157" spans="1:12" hidden="1">
      <c r="A157" t="s">
        <v>1226</v>
      </c>
      <c r="B157">
        <v>506207139</v>
      </c>
      <c r="C157" s="60">
        <v>45932</v>
      </c>
      <c r="D157" t="s">
        <v>1266</v>
      </c>
      <c r="E157">
        <v>10400</v>
      </c>
      <c r="L157" t="str">
        <f t="shared" si="2"/>
        <v>KI7506207139,</v>
      </c>
    </row>
    <row r="158" spans="1:12" hidden="1">
      <c r="A158" t="s">
        <v>1184</v>
      </c>
      <c r="B158">
        <v>506214965</v>
      </c>
      <c r="C158" s="60">
        <v>45932</v>
      </c>
      <c r="D158" t="s">
        <v>1266</v>
      </c>
      <c r="E158">
        <v>1473</v>
      </c>
      <c r="L158" t="str">
        <f t="shared" si="2"/>
        <v>KI7506214965,</v>
      </c>
    </row>
    <row r="159" spans="1:12" hidden="1">
      <c r="A159" t="s">
        <v>1181</v>
      </c>
      <c r="B159">
        <v>506785015</v>
      </c>
      <c r="C159" s="60">
        <v>45932</v>
      </c>
      <c r="D159" t="s">
        <v>1266</v>
      </c>
      <c r="E159">
        <v>2380</v>
      </c>
      <c r="L159" t="str">
        <f t="shared" si="2"/>
        <v>HD7506785015,</v>
      </c>
    </row>
    <row r="160" spans="1:12" hidden="1">
      <c r="A160" t="s">
        <v>1259</v>
      </c>
      <c r="B160">
        <v>507271608</v>
      </c>
      <c r="C160" s="60">
        <v>45932</v>
      </c>
      <c r="D160" t="s">
        <v>1266</v>
      </c>
      <c r="E160">
        <v>1999</v>
      </c>
      <c r="L160" t="str">
        <f t="shared" si="2"/>
        <v>RW7507271608,</v>
      </c>
    </row>
    <row r="161" spans="1:12" hidden="1">
      <c r="A161" t="s">
        <v>1219</v>
      </c>
      <c r="B161">
        <v>507272809</v>
      </c>
      <c r="C161" s="60">
        <v>45932</v>
      </c>
      <c r="D161" t="s">
        <v>1266</v>
      </c>
      <c r="E161">
        <v>4800</v>
      </c>
      <c r="L161" t="str">
        <f t="shared" si="2"/>
        <v>RW7507272809,</v>
      </c>
    </row>
    <row r="162" spans="1:12" hidden="1">
      <c r="A162" t="s">
        <v>1187</v>
      </c>
      <c r="B162">
        <v>507273998</v>
      </c>
      <c r="C162" s="60">
        <v>45932</v>
      </c>
      <c r="D162" t="s">
        <v>1266</v>
      </c>
      <c r="E162">
        <v>2499</v>
      </c>
      <c r="L162" t="str">
        <f t="shared" si="2"/>
        <v>RW7507273998,</v>
      </c>
    </row>
    <row r="163" spans="1:12" hidden="1">
      <c r="A163" t="s">
        <v>1199</v>
      </c>
      <c r="B163">
        <v>507274334</v>
      </c>
      <c r="C163" s="60">
        <v>45932</v>
      </c>
      <c r="D163" t="s">
        <v>1266</v>
      </c>
      <c r="E163">
        <v>7420</v>
      </c>
      <c r="L163" t="str">
        <f t="shared" si="2"/>
        <v>RW7507274334,</v>
      </c>
    </row>
    <row r="164" spans="1:12" hidden="1">
      <c r="A164" t="s">
        <v>1186</v>
      </c>
      <c r="B164">
        <v>508337026</v>
      </c>
      <c r="C164" s="60">
        <v>45932</v>
      </c>
      <c r="D164" t="s">
        <v>1266</v>
      </c>
      <c r="E164">
        <v>2250</v>
      </c>
      <c r="L164" t="str">
        <f t="shared" si="2"/>
        <v>LE7508337026,</v>
      </c>
    </row>
    <row r="165" spans="1:12" hidden="1">
      <c r="A165" t="s">
        <v>1224</v>
      </c>
      <c r="B165">
        <v>508337892</v>
      </c>
      <c r="C165" s="60">
        <v>45932</v>
      </c>
      <c r="D165" t="s">
        <v>1266</v>
      </c>
      <c r="E165">
        <v>470</v>
      </c>
      <c r="L165" t="str">
        <f t="shared" si="2"/>
        <v>LE7508337892,</v>
      </c>
    </row>
    <row r="166" spans="1:12" hidden="1">
      <c r="A166" t="s">
        <v>1204</v>
      </c>
      <c r="B166">
        <v>508344486</v>
      </c>
      <c r="C166" s="60">
        <v>45932</v>
      </c>
      <c r="D166" t="s">
        <v>1266</v>
      </c>
      <c r="E166">
        <v>13500</v>
      </c>
      <c r="L166" t="str">
        <f t="shared" si="2"/>
        <v>LE7508344486,</v>
      </c>
    </row>
    <row r="167" spans="1:12" hidden="1">
      <c r="A167" t="s">
        <v>1182</v>
      </c>
      <c r="B167">
        <v>508354116</v>
      </c>
      <c r="C167" s="60">
        <v>45932</v>
      </c>
      <c r="D167" t="s">
        <v>1266</v>
      </c>
      <c r="E167">
        <v>1299</v>
      </c>
      <c r="L167" t="str">
        <f t="shared" si="2"/>
        <v>LE7508354116,</v>
      </c>
    </row>
    <row r="168" spans="1:12" hidden="1">
      <c r="A168" t="s">
        <v>1220</v>
      </c>
      <c r="B168">
        <v>508356705</v>
      </c>
      <c r="C168" s="60">
        <v>45932</v>
      </c>
      <c r="D168" t="s">
        <v>1266</v>
      </c>
      <c r="E168">
        <v>2449</v>
      </c>
      <c r="L168" t="str">
        <f t="shared" si="2"/>
        <v>LE7508356705,</v>
      </c>
    </row>
    <row r="169" spans="1:12" hidden="1">
      <c r="A169" t="s">
        <v>1264</v>
      </c>
      <c r="B169">
        <v>510049819</v>
      </c>
      <c r="C169" s="60">
        <v>45932</v>
      </c>
      <c r="D169" t="s">
        <v>1266</v>
      </c>
      <c r="E169">
        <v>1320</v>
      </c>
      <c r="L169" t="str">
        <f t="shared" si="2"/>
        <v>KI7510049819,</v>
      </c>
    </row>
    <row r="170" spans="1:12" hidden="1">
      <c r="A170" t="s">
        <v>1218</v>
      </c>
      <c r="B170">
        <v>510073262</v>
      </c>
      <c r="C170" s="60">
        <v>45932</v>
      </c>
      <c r="D170" t="s">
        <v>1266</v>
      </c>
      <c r="E170">
        <v>3000</v>
      </c>
      <c r="L170" t="str">
        <f t="shared" si="2"/>
        <v>KI7510073262,</v>
      </c>
    </row>
    <row r="171" spans="1:12" hidden="1">
      <c r="A171" t="s">
        <v>1241</v>
      </c>
      <c r="B171">
        <v>510079578</v>
      </c>
      <c r="C171" s="60">
        <v>45932</v>
      </c>
      <c r="D171" t="s">
        <v>1266</v>
      </c>
      <c r="E171">
        <v>4262</v>
      </c>
      <c r="L171" t="str">
        <f t="shared" si="2"/>
        <v>KI7510079578,</v>
      </c>
    </row>
    <row r="172" spans="1:12" hidden="1">
      <c r="A172" t="s">
        <v>1229</v>
      </c>
      <c r="B172">
        <v>510084922</v>
      </c>
      <c r="C172" s="60">
        <v>45932</v>
      </c>
      <c r="D172" t="s">
        <v>1266</v>
      </c>
      <c r="E172">
        <v>395</v>
      </c>
      <c r="L172" t="str">
        <f t="shared" si="2"/>
        <v>KI7510084922,</v>
      </c>
    </row>
    <row r="173" spans="1:12" hidden="1">
      <c r="A173" t="s">
        <v>1253</v>
      </c>
      <c r="B173">
        <v>510089914</v>
      </c>
      <c r="C173" s="60">
        <v>45932</v>
      </c>
      <c r="D173" t="s">
        <v>1266</v>
      </c>
      <c r="E173">
        <v>720</v>
      </c>
      <c r="L173" t="str">
        <f t="shared" si="2"/>
        <v>KI7510089914,</v>
      </c>
    </row>
    <row r="174" spans="1:12" hidden="1">
      <c r="A174" t="s">
        <v>1175</v>
      </c>
      <c r="B174">
        <v>511934988</v>
      </c>
      <c r="C174" s="60">
        <v>45932</v>
      </c>
      <c r="D174" t="s">
        <v>1266</v>
      </c>
      <c r="E174">
        <v>3090</v>
      </c>
      <c r="L174" t="str">
        <f t="shared" si="2"/>
        <v>FS7511934988,</v>
      </c>
    </row>
    <row r="175" spans="1:12" hidden="1">
      <c r="A175" t="s">
        <v>1205</v>
      </c>
      <c r="B175">
        <v>511955810</v>
      </c>
      <c r="C175" s="60">
        <v>45932</v>
      </c>
      <c r="D175" t="s">
        <v>1266</v>
      </c>
      <c r="E175">
        <v>2250</v>
      </c>
      <c r="L175" t="str">
        <f t="shared" si="2"/>
        <v>FS7511955810,</v>
      </c>
    </row>
    <row r="176" spans="1:12" hidden="1">
      <c r="A176" t="s">
        <v>1263</v>
      </c>
      <c r="B176">
        <v>511973562</v>
      </c>
      <c r="C176" s="60">
        <v>45932</v>
      </c>
      <c r="D176" t="s">
        <v>1266</v>
      </c>
      <c r="E176">
        <v>2598</v>
      </c>
      <c r="L176" t="str">
        <f t="shared" si="2"/>
        <v>FS7511973562,</v>
      </c>
    </row>
    <row r="177" spans="1:12" hidden="1">
      <c r="A177" t="s">
        <v>1225</v>
      </c>
      <c r="B177">
        <v>511986455</v>
      </c>
      <c r="C177" s="60">
        <v>45932</v>
      </c>
      <c r="D177" t="s">
        <v>1266</v>
      </c>
      <c r="E177">
        <v>1897</v>
      </c>
      <c r="L177" t="str">
        <f t="shared" si="2"/>
        <v>FS7511986455,</v>
      </c>
    </row>
    <row r="178" spans="1:12" hidden="1">
      <c r="A178" t="s">
        <v>1174</v>
      </c>
      <c r="B178">
        <v>511988455</v>
      </c>
      <c r="C178" s="60">
        <v>45932</v>
      </c>
      <c r="D178" t="s">
        <v>1266</v>
      </c>
      <c r="E178">
        <v>2500</v>
      </c>
      <c r="L178" t="str">
        <f t="shared" si="2"/>
        <v>FS7511988455,</v>
      </c>
    </row>
    <row r="179" spans="1:12" hidden="1">
      <c r="A179" t="s">
        <v>1233</v>
      </c>
      <c r="B179">
        <v>511993230</v>
      </c>
      <c r="C179" s="60">
        <v>45932</v>
      </c>
      <c r="D179" t="s">
        <v>1266</v>
      </c>
      <c r="E179">
        <v>4800</v>
      </c>
      <c r="L179" t="str">
        <f t="shared" si="2"/>
        <v>FS7511993230,</v>
      </c>
    </row>
    <row r="180" spans="1:12" hidden="1">
      <c r="A180" t="s">
        <v>1262</v>
      </c>
      <c r="B180">
        <v>511993409</v>
      </c>
      <c r="C180" s="60">
        <v>45932</v>
      </c>
      <c r="D180" t="s">
        <v>1266</v>
      </c>
      <c r="E180">
        <v>7125</v>
      </c>
      <c r="L180" t="str">
        <f t="shared" si="2"/>
        <v>FS7511993409,</v>
      </c>
    </row>
    <row r="181" spans="1:12" hidden="1">
      <c r="A181" t="s">
        <v>1230</v>
      </c>
      <c r="B181">
        <v>511995612</v>
      </c>
      <c r="C181" s="60">
        <v>45932</v>
      </c>
      <c r="D181" t="s">
        <v>1266</v>
      </c>
      <c r="E181">
        <v>2900</v>
      </c>
      <c r="L181" t="str">
        <f t="shared" si="2"/>
        <v>FS7511995612,</v>
      </c>
    </row>
    <row r="182" spans="1:12" hidden="1">
      <c r="A182" t="s">
        <v>1240</v>
      </c>
      <c r="B182">
        <v>511997362</v>
      </c>
      <c r="C182" s="60">
        <v>45932</v>
      </c>
      <c r="D182" t="s">
        <v>1266</v>
      </c>
      <c r="E182">
        <v>1200</v>
      </c>
      <c r="L182" t="str">
        <f t="shared" si="2"/>
        <v>FS7511997362,</v>
      </c>
    </row>
    <row r="183" spans="1:12" hidden="1">
      <c r="A183" t="s">
        <v>1211</v>
      </c>
      <c r="B183">
        <v>511997442</v>
      </c>
      <c r="C183" s="60">
        <v>45932</v>
      </c>
      <c r="D183" t="s">
        <v>1266</v>
      </c>
      <c r="E183">
        <v>3000</v>
      </c>
      <c r="L183" t="str">
        <f t="shared" si="2"/>
        <v>FS7511997442,</v>
      </c>
    </row>
    <row r="184" spans="1:12" hidden="1">
      <c r="A184" t="s">
        <v>1242</v>
      </c>
      <c r="B184">
        <v>511999235</v>
      </c>
      <c r="C184" s="60">
        <v>45932</v>
      </c>
      <c r="D184" t="s">
        <v>1266</v>
      </c>
      <c r="E184">
        <v>3100</v>
      </c>
      <c r="L184" t="str">
        <f t="shared" si="2"/>
        <v>FS7511999235,</v>
      </c>
    </row>
    <row r="185" spans="1:12" hidden="1">
      <c r="A185" t="s">
        <v>1250</v>
      </c>
      <c r="B185">
        <v>512004602</v>
      </c>
      <c r="C185" s="60">
        <v>45932</v>
      </c>
      <c r="D185" t="s">
        <v>1266</v>
      </c>
      <c r="E185">
        <v>2700</v>
      </c>
      <c r="L185" t="str">
        <f t="shared" si="2"/>
        <v>FS7512004602,</v>
      </c>
    </row>
    <row r="186" spans="1:12" hidden="1">
      <c r="A186" t="s">
        <v>1243</v>
      </c>
      <c r="B186">
        <v>512004688</v>
      </c>
      <c r="C186" s="60">
        <v>45932</v>
      </c>
      <c r="D186" t="s">
        <v>1266</v>
      </c>
      <c r="E186">
        <v>3800</v>
      </c>
      <c r="L186" t="str">
        <f t="shared" si="2"/>
        <v>FS7512004688,</v>
      </c>
    </row>
    <row r="187" spans="1:12" hidden="1">
      <c r="A187" t="s">
        <v>1237</v>
      </c>
      <c r="B187">
        <v>512350509</v>
      </c>
      <c r="C187" s="60">
        <v>45932</v>
      </c>
      <c r="D187" t="s">
        <v>1266</v>
      </c>
      <c r="E187">
        <v>1599</v>
      </c>
      <c r="L187" t="str">
        <f t="shared" si="2"/>
        <v>FS7512350509,</v>
      </c>
    </row>
    <row r="188" spans="1:12" hidden="1">
      <c r="A188" t="s">
        <v>1254</v>
      </c>
      <c r="B188">
        <v>512354290</v>
      </c>
      <c r="C188" s="60">
        <v>45932</v>
      </c>
      <c r="D188" t="s">
        <v>1266</v>
      </c>
      <c r="E188">
        <v>2490</v>
      </c>
      <c r="L188" t="str">
        <f t="shared" si="2"/>
        <v>FS7512354290,</v>
      </c>
    </row>
    <row r="189" spans="1:12" hidden="1">
      <c r="A189" t="s">
        <v>1256</v>
      </c>
      <c r="B189">
        <v>512359919</v>
      </c>
      <c r="C189" s="60">
        <v>45932</v>
      </c>
      <c r="D189" t="s">
        <v>1266</v>
      </c>
      <c r="E189">
        <v>1599</v>
      </c>
      <c r="L189" t="str">
        <f t="shared" si="2"/>
        <v>FS7512359919,</v>
      </c>
    </row>
    <row r="190" spans="1:12" hidden="1">
      <c r="A190" t="s">
        <v>1216</v>
      </c>
      <c r="B190">
        <v>512359950</v>
      </c>
      <c r="C190" s="60">
        <v>45932</v>
      </c>
      <c r="D190" t="s">
        <v>1266</v>
      </c>
      <c r="E190">
        <v>3100</v>
      </c>
      <c r="L190" t="str">
        <f t="shared" si="2"/>
        <v>FS7512359950,</v>
      </c>
    </row>
    <row r="191" spans="1:12" hidden="1">
      <c r="A191" t="s">
        <v>1202</v>
      </c>
      <c r="B191">
        <v>512977531</v>
      </c>
      <c r="C191" s="60">
        <v>45932</v>
      </c>
      <c r="D191" t="s">
        <v>1266</v>
      </c>
      <c r="E191">
        <v>1000</v>
      </c>
      <c r="L191" t="str">
        <f t="shared" si="2"/>
        <v>MX7512977531,</v>
      </c>
    </row>
    <row r="192" spans="1:12" hidden="1">
      <c r="A192" t="s">
        <v>1223</v>
      </c>
      <c r="B192">
        <v>512983472</v>
      </c>
      <c r="C192" s="60">
        <v>45932</v>
      </c>
      <c r="D192" t="s">
        <v>1266</v>
      </c>
      <c r="E192">
        <v>6000</v>
      </c>
      <c r="L192" t="str">
        <f t="shared" si="2"/>
        <v>MX7512983472,</v>
      </c>
    </row>
    <row r="193" spans="1:12" hidden="1">
      <c r="A193" t="s">
        <v>1171</v>
      </c>
      <c r="B193">
        <v>512984698</v>
      </c>
      <c r="C193" s="60">
        <v>45932</v>
      </c>
      <c r="D193" t="s">
        <v>1266</v>
      </c>
      <c r="E193">
        <v>0</v>
      </c>
      <c r="L193" t="str">
        <f t="shared" si="2"/>
        <v>MX7512984698,</v>
      </c>
    </row>
    <row r="194" spans="1:12" hidden="1">
      <c r="A194" t="s">
        <v>1249</v>
      </c>
      <c r="B194">
        <v>512984712</v>
      </c>
      <c r="C194" s="60">
        <v>45932</v>
      </c>
      <c r="D194" t="s">
        <v>1266</v>
      </c>
      <c r="E194">
        <v>1850</v>
      </c>
      <c r="L194" t="str">
        <f t="shared" si="2"/>
        <v>MX7512984712,</v>
      </c>
    </row>
    <row r="195" spans="1:12" hidden="1">
      <c r="A195" t="s">
        <v>1194</v>
      </c>
      <c r="B195">
        <v>513544433</v>
      </c>
      <c r="C195" s="60">
        <v>45932</v>
      </c>
      <c r="D195" t="s">
        <v>1266</v>
      </c>
      <c r="E195">
        <v>1499</v>
      </c>
      <c r="L195" t="str">
        <f t="shared" ref="L195:L258" si="3">""&amp;A195&amp;","</f>
        <v>PW7513544433,</v>
      </c>
    </row>
    <row r="196" spans="1:12" hidden="1">
      <c r="A196" t="s">
        <v>1227</v>
      </c>
      <c r="B196">
        <v>513592406</v>
      </c>
      <c r="C196" s="60">
        <v>45932</v>
      </c>
      <c r="D196" t="s">
        <v>1266</v>
      </c>
      <c r="E196">
        <v>2080</v>
      </c>
      <c r="L196" t="str">
        <f t="shared" si="3"/>
        <v>JR7513592406,</v>
      </c>
    </row>
    <row r="197" spans="1:12" hidden="1">
      <c r="A197" t="s">
        <v>1193</v>
      </c>
      <c r="B197">
        <v>514131198</v>
      </c>
      <c r="C197" s="60">
        <v>45932</v>
      </c>
      <c r="D197" t="s">
        <v>1266</v>
      </c>
      <c r="E197">
        <v>5000</v>
      </c>
      <c r="L197" t="str">
        <f t="shared" si="3"/>
        <v>SA7514131198,</v>
      </c>
    </row>
    <row r="198" spans="1:12" hidden="1">
      <c r="A198" t="s">
        <v>1316</v>
      </c>
      <c r="B198">
        <v>11772371</v>
      </c>
      <c r="C198" s="60">
        <v>45934</v>
      </c>
      <c r="D198" s="60" t="s">
        <v>1356</v>
      </c>
      <c r="E198">
        <v>2891</v>
      </c>
      <c r="L198" t="str">
        <f t="shared" si="3"/>
        <v>MU9011772371,</v>
      </c>
    </row>
    <row r="199" spans="1:12" hidden="1">
      <c r="A199" t="s">
        <v>1321</v>
      </c>
      <c r="B199">
        <v>12125369</v>
      </c>
      <c r="C199" s="60">
        <v>45934</v>
      </c>
      <c r="D199" s="60" t="s">
        <v>1356</v>
      </c>
      <c r="E199">
        <v>1099</v>
      </c>
      <c r="L199" t="str">
        <f t="shared" si="3"/>
        <v>LE9012125369,</v>
      </c>
    </row>
    <row r="200" spans="1:12" hidden="1">
      <c r="A200" t="s">
        <v>1335</v>
      </c>
      <c r="B200">
        <v>12129510</v>
      </c>
      <c r="C200" s="60">
        <v>45934</v>
      </c>
      <c r="D200" s="60" t="s">
        <v>1356</v>
      </c>
      <c r="E200">
        <v>729</v>
      </c>
      <c r="L200" t="str">
        <f t="shared" si="3"/>
        <v>LE9012129510,</v>
      </c>
    </row>
    <row r="201" spans="1:12" hidden="1">
      <c r="A201" t="s">
        <v>1301</v>
      </c>
      <c r="B201">
        <v>12133794</v>
      </c>
      <c r="C201" s="60">
        <v>45934</v>
      </c>
      <c r="D201" s="60" t="s">
        <v>1356</v>
      </c>
      <c r="E201">
        <v>680</v>
      </c>
      <c r="L201" t="str">
        <f t="shared" si="3"/>
        <v>LE9012133794,</v>
      </c>
    </row>
    <row r="202" spans="1:12" hidden="1">
      <c r="A202" t="s">
        <v>1272</v>
      </c>
      <c r="B202">
        <v>12134990</v>
      </c>
      <c r="C202" s="60">
        <v>45934</v>
      </c>
      <c r="D202" s="60" t="s">
        <v>1356</v>
      </c>
      <c r="E202">
        <v>598</v>
      </c>
      <c r="L202" t="str">
        <f t="shared" si="3"/>
        <v>PW9012134990,</v>
      </c>
    </row>
    <row r="203" spans="1:12" hidden="1">
      <c r="A203" t="s">
        <v>1324</v>
      </c>
      <c r="B203">
        <v>12141188</v>
      </c>
      <c r="C203" s="60">
        <v>45934</v>
      </c>
      <c r="D203" s="60" t="s">
        <v>1356</v>
      </c>
      <c r="E203">
        <v>678</v>
      </c>
      <c r="L203" t="str">
        <f t="shared" si="3"/>
        <v>LE9012141188,</v>
      </c>
    </row>
    <row r="204" spans="1:12" hidden="1">
      <c r="A204" t="s">
        <v>1313</v>
      </c>
      <c r="B204">
        <v>12144652</v>
      </c>
      <c r="C204" s="60">
        <v>45934</v>
      </c>
      <c r="D204" s="60" t="s">
        <v>1356</v>
      </c>
      <c r="E204">
        <v>1035</v>
      </c>
      <c r="L204" t="str">
        <f t="shared" si="3"/>
        <v>KI9012144652,</v>
      </c>
    </row>
    <row r="205" spans="1:12" hidden="1">
      <c r="A205" t="s">
        <v>1281</v>
      </c>
      <c r="B205">
        <v>12145580</v>
      </c>
      <c r="C205" s="60">
        <v>45934</v>
      </c>
      <c r="D205" s="60" t="s">
        <v>1356</v>
      </c>
      <c r="E205">
        <v>980</v>
      </c>
      <c r="L205" t="str">
        <f t="shared" si="3"/>
        <v>LE9012145580,</v>
      </c>
    </row>
    <row r="206" spans="1:12" hidden="1">
      <c r="A206" t="s">
        <v>1345</v>
      </c>
      <c r="B206">
        <v>12145589</v>
      </c>
      <c r="C206" s="60">
        <v>45934</v>
      </c>
      <c r="D206" s="60" t="s">
        <v>1356</v>
      </c>
      <c r="E206">
        <v>529</v>
      </c>
      <c r="L206" t="str">
        <f t="shared" si="3"/>
        <v>LE9012145589,</v>
      </c>
    </row>
    <row r="207" spans="1:12" hidden="1">
      <c r="A207" t="s">
        <v>1314</v>
      </c>
      <c r="B207">
        <v>12146031</v>
      </c>
      <c r="C207" s="60">
        <v>45934</v>
      </c>
      <c r="D207" s="60" t="s">
        <v>1356</v>
      </c>
      <c r="E207">
        <v>729</v>
      </c>
      <c r="L207" t="str">
        <f t="shared" si="3"/>
        <v>KI9012146031,</v>
      </c>
    </row>
    <row r="208" spans="1:12" hidden="1">
      <c r="A208" t="s">
        <v>1300</v>
      </c>
      <c r="B208">
        <v>12146181</v>
      </c>
      <c r="C208" s="60">
        <v>45934</v>
      </c>
      <c r="D208" s="60" t="s">
        <v>1356</v>
      </c>
      <c r="E208">
        <v>503</v>
      </c>
      <c r="L208" t="str">
        <f t="shared" si="3"/>
        <v>LE9012146181,</v>
      </c>
    </row>
    <row r="209" spans="1:12" hidden="1">
      <c r="A209" t="s">
        <v>1317</v>
      </c>
      <c r="B209">
        <v>12146310</v>
      </c>
      <c r="C209" s="60">
        <v>45934</v>
      </c>
      <c r="D209" s="60" t="s">
        <v>1356</v>
      </c>
      <c r="E209">
        <v>680</v>
      </c>
      <c r="L209" t="str">
        <f t="shared" si="3"/>
        <v>LE9012146310,</v>
      </c>
    </row>
    <row r="210" spans="1:12" hidden="1">
      <c r="A210" t="s">
        <v>1326</v>
      </c>
      <c r="B210">
        <v>12146415</v>
      </c>
      <c r="C210" s="60">
        <v>45934</v>
      </c>
      <c r="D210" s="60" t="s">
        <v>1356</v>
      </c>
      <c r="E210">
        <v>879</v>
      </c>
      <c r="L210" t="str">
        <f t="shared" si="3"/>
        <v>KI9012146415,</v>
      </c>
    </row>
    <row r="211" spans="1:12" hidden="1">
      <c r="A211" t="s">
        <v>1318</v>
      </c>
      <c r="B211">
        <v>12146505</v>
      </c>
      <c r="C211" s="60">
        <v>45934</v>
      </c>
      <c r="D211" s="60" t="s">
        <v>1356</v>
      </c>
      <c r="E211">
        <v>0</v>
      </c>
      <c r="L211" t="str">
        <f t="shared" si="3"/>
        <v>LE9012146505,</v>
      </c>
    </row>
    <row r="212" spans="1:12" hidden="1">
      <c r="A212" t="s">
        <v>1287</v>
      </c>
      <c r="B212">
        <v>12146577</v>
      </c>
      <c r="C212" s="60">
        <v>45934</v>
      </c>
      <c r="D212" s="60" t="s">
        <v>1356</v>
      </c>
      <c r="E212">
        <v>1071</v>
      </c>
      <c r="L212" t="str">
        <f t="shared" si="3"/>
        <v>KI9012146577,</v>
      </c>
    </row>
    <row r="213" spans="1:12" hidden="1">
      <c r="A213" t="s">
        <v>1325</v>
      </c>
      <c r="B213">
        <v>12146917</v>
      </c>
      <c r="C213" s="60">
        <v>45934</v>
      </c>
      <c r="D213" s="60" t="s">
        <v>1356</v>
      </c>
      <c r="E213">
        <v>1084</v>
      </c>
      <c r="L213" t="str">
        <f t="shared" si="3"/>
        <v>KI9012146917,</v>
      </c>
    </row>
    <row r="214" spans="1:12" hidden="1">
      <c r="A214" t="s">
        <v>1283</v>
      </c>
      <c r="B214">
        <v>12147572</v>
      </c>
      <c r="C214" s="60">
        <v>45934</v>
      </c>
      <c r="D214" s="60" t="s">
        <v>1356</v>
      </c>
      <c r="E214">
        <v>479</v>
      </c>
      <c r="L214" t="str">
        <f t="shared" si="3"/>
        <v>LE9012147572,</v>
      </c>
    </row>
    <row r="215" spans="1:12" hidden="1">
      <c r="A215" t="s">
        <v>1323</v>
      </c>
      <c r="B215">
        <v>12148976</v>
      </c>
      <c r="C215" s="60">
        <v>45934</v>
      </c>
      <c r="D215" s="60" t="s">
        <v>1356</v>
      </c>
      <c r="E215">
        <v>780</v>
      </c>
      <c r="L215" t="str">
        <f t="shared" si="3"/>
        <v>LE9012148976,</v>
      </c>
    </row>
    <row r="216" spans="1:12" hidden="1">
      <c r="A216" t="s">
        <v>1311</v>
      </c>
      <c r="B216">
        <v>12149608</v>
      </c>
      <c r="C216" s="60">
        <v>45934</v>
      </c>
      <c r="D216" s="60" t="s">
        <v>1356</v>
      </c>
      <c r="E216">
        <v>559</v>
      </c>
      <c r="L216" t="str">
        <f t="shared" si="3"/>
        <v>LE9012149608,</v>
      </c>
    </row>
    <row r="217" spans="1:12" hidden="1">
      <c r="A217" t="s">
        <v>1298</v>
      </c>
      <c r="B217">
        <v>12149630</v>
      </c>
      <c r="C217" s="60">
        <v>45934</v>
      </c>
      <c r="D217" s="60" t="s">
        <v>1356</v>
      </c>
      <c r="E217">
        <v>3229</v>
      </c>
      <c r="L217" t="str">
        <f t="shared" si="3"/>
        <v>LE9012149630,</v>
      </c>
    </row>
    <row r="218" spans="1:12" hidden="1">
      <c r="A218" t="s">
        <v>1350</v>
      </c>
      <c r="B218">
        <v>12152261</v>
      </c>
      <c r="C218" s="60">
        <v>45934</v>
      </c>
      <c r="D218" s="60" t="s">
        <v>1356</v>
      </c>
      <c r="E218">
        <v>3089</v>
      </c>
      <c r="L218" t="str">
        <f t="shared" si="3"/>
        <v>KI9012152261,</v>
      </c>
    </row>
    <row r="219" spans="1:12" hidden="1">
      <c r="A219" t="s">
        <v>1337</v>
      </c>
      <c r="B219">
        <v>12153259</v>
      </c>
      <c r="C219" s="60">
        <v>45934</v>
      </c>
      <c r="D219" s="60" t="s">
        <v>1356</v>
      </c>
      <c r="E219">
        <v>391</v>
      </c>
      <c r="L219" t="str">
        <f t="shared" si="3"/>
        <v>KI9012153259,</v>
      </c>
    </row>
    <row r="220" spans="1:12" hidden="1">
      <c r="A220" t="s">
        <v>1329</v>
      </c>
      <c r="B220">
        <v>12153286</v>
      </c>
      <c r="C220" s="60">
        <v>45934</v>
      </c>
      <c r="D220" s="60" t="s">
        <v>1356</v>
      </c>
      <c r="E220">
        <v>944</v>
      </c>
      <c r="L220" t="str">
        <f t="shared" si="3"/>
        <v>KI9012153286,</v>
      </c>
    </row>
    <row r="221" spans="1:12" hidden="1">
      <c r="A221" t="s">
        <v>1282</v>
      </c>
      <c r="B221">
        <v>12153822</v>
      </c>
      <c r="C221" s="60">
        <v>45934</v>
      </c>
      <c r="D221" s="60" t="s">
        <v>1356</v>
      </c>
      <c r="E221">
        <v>625</v>
      </c>
      <c r="L221" t="str">
        <f t="shared" si="3"/>
        <v>LE9012153822,</v>
      </c>
    </row>
    <row r="222" spans="1:12" hidden="1">
      <c r="A222" t="s">
        <v>1305</v>
      </c>
      <c r="B222">
        <v>12153904</v>
      </c>
      <c r="C222" s="60">
        <v>45934</v>
      </c>
      <c r="D222" s="60" t="s">
        <v>1356</v>
      </c>
      <c r="E222">
        <v>1154</v>
      </c>
      <c r="L222" t="str">
        <f t="shared" si="3"/>
        <v>LE9012153904,</v>
      </c>
    </row>
    <row r="223" spans="1:12" hidden="1">
      <c r="A223" t="s">
        <v>1341</v>
      </c>
      <c r="B223">
        <v>12154018</v>
      </c>
      <c r="C223" s="60">
        <v>45934</v>
      </c>
      <c r="D223" s="60" t="s">
        <v>1356</v>
      </c>
      <c r="E223">
        <v>798</v>
      </c>
      <c r="L223" t="str">
        <f t="shared" si="3"/>
        <v>KI9012154018,</v>
      </c>
    </row>
    <row r="224" spans="1:12" hidden="1">
      <c r="A224" t="s">
        <v>1290</v>
      </c>
      <c r="B224">
        <v>12154631</v>
      </c>
      <c r="C224" s="60">
        <v>45934</v>
      </c>
      <c r="D224" s="60" t="s">
        <v>1356</v>
      </c>
      <c r="E224">
        <v>628</v>
      </c>
      <c r="L224" t="str">
        <f t="shared" si="3"/>
        <v>LE9012154631,</v>
      </c>
    </row>
    <row r="225" spans="1:12" hidden="1">
      <c r="A225" t="s">
        <v>1286</v>
      </c>
      <c r="B225">
        <v>12154676</v>
      </c>
      <c r="C225" s="60">
        <v>45934</v>
      </c>
      <c r="D225" s="60" t="s">
        <v>1356</v>
      </c>
      <c r="E225">
        <v>890</v>
      </c>
      <c r="L225" t="str">
        <f t="shared" si="3"/>
        <v>LE9012154676,</v>
      </c>
    </row>
    <row r="226" spans="1:12" hidden="1">
      <c r="A226" t="s">
        <v>1319</v>
      </c>
      <c r="B226">
        <v>12154964</v>
      </c>
      <c r="C226" s="60">
        <v>45934</v>
      </c>
      <c r="D226" s="60" t="s">
        <v>1356</v>
      </c>
      <c r="E226">
        <v>1199</v>
      </c>
      <c r="L226" t="str">
        <f t="shared" si="3"/>
        <v>LE9012154964,</v>
      </c>
    </row>
    <row r="227" spans="1:12" hidden="1">
      <c r="A227" t="s">
        <v>1296</v>
      </c>
      <c r="B227">
        <v>12155025</v>
      </c>
      <c r="C227" s="60">
        <v>45934</v>
      </c>
      <c r="D227" s="60" t="s">
        <v>1356</v>
      </c>
      <c r="E227">
        <v>445</v>
      </c>
      <c r="L227" t="str">
        <f t="shared" si="3"/>
        <v>LE9012155025,</v>
      </c>
    </row>
    <row r="228" spans="1:12" hidden="1">
      <c r="A228" t="s">
        <v>1349</v>
      </c>
      <c r="B228">
        <v>12155114</v>
      </c>
      <c r="C228" s="60">
        <v>45934</v>
      </c>
      <c r="D228" s="60" t="s">
        <v>1356</v>
      </c>
      <c r="E228">
        <v>3499</v>
      </c>
      <c r="L228" t="str">
        <f t="shared" si="3"/>
        <v>PW9012155114,</v>
      </c>
    </row>
    <row r="229" spans="1:12" hidden="1">
      <c r="A229" t="s">
        <v>1275</v>
      </c>
      <c r="B229">
        <v>12155613</v>
      </c>
      <c r="C229" s="60">
        <v>45934</v>
      </c>
      <c r="D229" s="60" t="s">
        <v>1356</v>
      </c>
      <c r="E229">
        <v>0</v>
      </c>
      <c r="L229" t="str">
        <f t="shared" si="3"/>
        <v>LE9012155613,</v>
      </c>
    </row>
    <row r="230" spans="1:12" hidden="1">
      <c r="A230" t="s">
        <v>1302</v>
      </c>
      <c r="B230">
        <v>12155692</v>
      </c>
      <c r="C230" s="60">
        <v>45934</v>
      </c>
      <c r="D230" s="60" t="s">
        <v>1356</v>
      </c>
      <c r="E230">
        <v>1307</v>
      </c>
      <c r="L230" t="str">
        <f t="shared" si="3"/>
        <v>TY9012155692,</v>
      </c>
    </row>
    <row r="231" spans="1:12" hidden="1">
      <c r="A231" t="s">
        <v>1273</v>
      </c>
      <c r="B231">
        <v>12157235</v>
      </c>
      <c r="C231" s="60">
        <v>45934</v>
      </c>
      <c r="D231" s="60" t="s">
        <v>1356</v>
      </c>
      <c r="E231">
        <v>372</v>
      </c>
      <c r="L231" t="str">
        <f t="shared" si="3"/>
        <v>KI9012157235,</v>
      </c>
    </row>
    <row r="232" spans="1:12" hidden="1">
      <c r="A232" t="s">
        <v>1295</v>
      </c>
      <c r="B232">
        <v>12158213</v>
      </c>
      <c r="C232" s="60">
        <v>45934</v>
      </c>
      <c r="D232" s="60" t="s">
        <v>1356</v>
      </c>
      <c r="E232">
        <v>449</v>
      </c>
      <c r="L232" t="str">
        <f t="shared" si="3"/>
        <v>KI9012158213,</v>
      </c>
    </row>
    <row r="233" spans="1:12" hidden="1">
      <c r="A233" t="s">
        <v>1291</v>
      </c>
      <c r="B233">
        <v>12158323</v>
      </c>
      <c r="C233" s="60">
        <v>45934</v>
      </c>
      <c r="D233" s="60" t="s">
        <v>1356</v>
      </c>
      <c r="E233">
        <v>705</v>
      </c>
      <c r="L233" t="str">
        <f t="shared" si="3"/>
        <v>KI9012158323,</v>
      </c>
    </row>
    <row r="234" spans="1:12" hidden="1">
      <c r="A234" t="s">
        <v>1332</v>
      </c>
      <c r="B234">
        <v>12158326</v>
      </c>
      <c r="C234" s="60">
        <v>45934</v>
      </c>
      <c r="D234" s="60" t="s">
        <v>1356</v>
      </c>
      <c r="E234">
        <v>1180</v>
      </c>
      <c r="L234" t="str">
        <f t="shared" si="3"/>
        <v>KI9012158326,</v>
      </c>
    </row>
    <row r="235" spans="1:12" hidden="1">
      <c r="A235" t="s">
        <v>1307</v>
      </c>
      <c r="B235">
        <v>12158335</v>
      </c>
      <c r="C235" s="60">
        <v>45934</v>
      </c>
      <c r="D235" s="60" t="s">
        <v>1356</v>
      </c>
      <c r="E235">
        <v>1180</v>
      </c>
      <c r="L235" t="str">
        <f t="shared" si="3"/>
        <v>KI9012158335,</v>
      </c>
    </row>
    <row r="236" spans="1:12" hidden="1">
      <c r="A236" t="s">
        <v>1320</v>
      </c>
      <c r="B236">
        <v>12158823</v>
      </c>
      <c r="C236" s="60">
        <v>45934</v>
      </c>
      <c r="D236" s="60" t="s">
        <v>1356</v>
      </c>
      <c r="E236">
        <v>600</v>
      </c>
      <c r="L236" t="str">
        <f t="shared" si="3"/>
        <v>ID9012158823,</v>
      </c>
    </row>
    <row r="237" spans="1:12" hidden="1">
      <c r="A237" t="s">
        <v>1294</v>
      </c>
      <c r="B237">
        <v>12160505</v>
      </c>
      <c r="C237" s="60">
        <v>45934</v>
      </c>
      <c r="D237" s="60" t="s">
        <v>1356</v>
      </c>
      <c r="E237">
        <v>0</v>
      </c>
      <c r="L237" t="str">
        <f t="shared" si="3"/>
        <v>SL9012160505,</v>
      </c>
    </row>
    <row r="238" spans="1:12" hidden="1">
      <c r="A238" t="s">
        <v>1303</v>
      </c>
      <c r="B238">
        <v>12160519</v>
      </c>
      <c r="C238" s="60">
        <v>45934</v>
      </c>
      <c r="D238" s="60" t="s">
        <v>1356</v>
      </c>
      <c r="E238">
        <v>0</v>
      </c>
      <c r="L238" t="str">
        <f t="shared" si="3"/>
        <v>SL9012160519,</v>
      </c>
    </row>
    <row r="239" spans="1:12" hidden="1">
      <c r="A239" t="s">
        <v>1288</v>
      </c>
      <c r="B239">
        <v>12160553</v>
      </c>
      <c r="C239" s="60">
        <v>45934</v>
      </c>
      <c r="D239" s="60" t="s">
        <v>1356</v>
      </c>
      <c r="E239">
        <v>1034</v>
      </c>
      <c r="L239" t="str">
        <f t="shared" si="3"/>
        <v>KI9012160553,</v>
      </c>
    </row>
    <row r="240" spans="1:12" hidden="1">
      <c r="A240" t="s">
        <v>1353</v>
      </c>
      <c r="B240">
        <v>12162844</v>
      </c>
      <c r="C240" s="60">
        <v>45934</v>
      </c>
      <c r="D240" s="60" t="s">
        <v>1356</v>
      </c>
      <c r="E240">
        <v>529</v>
      </c>
      <c r="L240" t="str">
        <f t="shared" si="3"/>
        <v>KI9012162844,</v>
      </c>
    </row>
    <row r="241" spans="1:12" hidden="1">
      <c r="A241" t="s">
        <v>1271</v>
      </c>
      <c r="B241">
        <v>12163819</v>
      </c>
      <c r="C241" s="60">
        <v>45934</v>
      </c>
      <c r="D241" s="60" t="s">
        <v>1356</v>
      </c>
      <c r="E241">
        <v>0</v>
      </c>
      <c r="L241" t="str">
        <f t="shared" si="3"/>
        <v>ID9012163819,</v>
      </c>
    </row>
    <row r="242" spans="1:12" hidden="1">
      <c r="A242" t="s">
        <v>1328</v>
      </c>
      <c r="B242">
        <v>12165226</v>
      </c>
      <c r="C242" s="60">
        <v>45934</v>
      </c>
      <c r="D242" s="60" t="s">
        <v>1356</v>
      </c>
      <c r="E242">
        <v>649</v>
      </c>
      <c r="L242" t="str">
        <f t="shared" si="3"/>
        <v>ID9012165226,</v>
      </c>
    </row>
    <row r="243" spans="1:12" hidden="1">
      <c r="A243" t="s">
        <v>1336</v>
      </c>
      <c r="B243">
        <v>12167592</v>
      </c>
      <c r="C243" s="60">
        <v>45934</v>
      </c>
      <c r="D243" s="60" t="s">
        <v>1356</v>
      </c>
      <c r="E243">
        <v>500</v>
      </c>
      <c r="L243" t="str">
        <f t="shared" si="3"/>
        <v>GT9012167592,</v>
      </c>
    </row>
    <row r="244" spans="1:12" hidden="1">
      <c r="A244" t="s">
        <v>1338</v>
      </c>
      <c r="B244">
        <v>12168346</v>
      </c>
      <c r="C244" s="60">
        <v>45934</v>
      </c>
      <c r="D244" s="60" t="s">
        <v>1356</v>
      </c>
      <c r="E244">
        <v>650</v>
      </c>
      <c r="L244" t="str">
        <f t="shared" si="3"/>
        <v>ID9012168346,</v>
      </c>
    </row>
    <row r="245" spans="1:12" hidden="1">
      <c r="A245" t="s">
        <v>1351</v>
      </c>
      <c r="B245">
        <v>12169194</v>
      </c>
      <c r="C245" s="60">
        <v>45934</v>
      </c>
      <c r="D245" s="60" t="s">
        <v>1356</v>
      </c>
      <c r="E245">
        <v>591</v>
      </c>
      <c r="L245" t="str">
        <f t="shared" si="3"/>
        <v>MX9012169194,</v>
      </c>
    </row>
    <row r="246" spans="1:12" hidden="1">
      <c r="A246" t="s">
        <v>1312</v>
      </c>
      <c r="B246">
        <v>60693289</v>
      </c>
      <c r="C246" s="60">
        <v>45934</v>
      </c>
      <c r="D246" s="60" t="s">
        <v>1356</v>
      </c>
      <c r="E246">
        <v>3000</v>
      </c>
      <c r="L246" t="str">
        <f t="shared" si="3"/>
        <v>OK0060693289,</v>
      </c>
    </row>
    <row r="247" spans="1:12" hidden="1">
      <c r="A247" t="s">
        <v>1284</v>
      </c>
      <c r="B247">
        <v>60886534</v>
      </c>
      <c r="C247" s="60">
        <v>45934</v>
      </c>
      <c r="D247" s="60" t="s">
        <v>1356</v>
      </c>
      <c r="E247">
        <v>2700</v>
      </c>
      <c r="L247" t="str">
        <f t="shared" si="3"/>
        <v>LE0060886534,</v>
      </c>
    </row>
    <row r="248" spans="1:12" hidden="1">
      <c r="A248" t="s">
        <v>1327</v>
      </c>
      <c r="B248">
        <v>500683700</v>
      </c>
      <c r="C248" s="60">
        <v>45934</v>
      </c>
      <c r="D248" s="60" t="s">
        <v>1356</v>
      </c>
      <c r="E248">
        <v>2950</v>
      </c>
      <c r="L248" t="str">
        <f t="shared" si="3"/>
        <v>KI7500683700,</v>
      </c>
    </row>
    <row r="249" spans="1:12" hidden="1">
      <c r="A249" t="s">
        <v>1346</v>
      </c>
      <c r="B249">
        <v>501235231</v>
      </c>
      <c r="C249" s="60">
        <v>45934</v>
      </c>
      <c r="D249" s="60" t="s">
        <v>1356</v>
      </c>
      <c r="E249">
        <v>1240</v>
      </c>
      <c r="L249" t="str">
        <f t="shared" si="3"/>
        <v>LE7501235231,</v>
      </c>
    </row>
    <row r="250" spans="1:12" hidden="1">
      <c r="A250" t="s">
        <v>1277</v>
      </c>
      <c r="B250">
        <v>503297086</v>
      </c>
      <c r="C250" s="60">
        <v>45934</v>
      </c>
      <c r="D250" s="60" t="s">
        <v>1356</v>
      </c>
      <c r="E250">
        <v>3960</v>
      </c>
      <c r="L250" t="str">
        <f t="shared" si="3"/>
        <v>MC7503297086,</v>
      </c>
    </row>
    <row r="251" spans="1:12" hidden="1">
      <c r="A251" t="s">
        <v>1333</v>
      </c>
      <c r="B251">
        <v>503749792</v>
      </c>
      <c r="C251" s="60">
        <v>45934</v>
      </c>
      <c r="D251" s="60" t="s">
        <v>1356</v>
      </c>
      <c r="E251">
        <v>1390</v>
      </c>
      <c r="L251" t="str">
        <f t="shared" si="3"/>
        <v>KS7503749792,</v>
      </c>
    </row>
    <row r="252" spans="1:12" hidden="1">
      <c r="A252" t="s">
        <v>1354</v>
      </c>
      <c r="B252">
        <v>506210141</v>
      </c>
      <c r="C252" s="60">
        <v>45934</v>
      </c>
      <c r="D252" s="60" t="s">
        <v>1356</v>
      </c>
      <c r="E252">
        <v>3344</v>
      </c>
      <c r="L252" t="str">
        <f t="shared" si="3"/>
        <v>KI7506210141,</v>
      </c>
    </row>
    <row r="253" spans="1:12" hidden="1">
      <c r="A253" t="s">
        <v>1342</v>
      </c>
      <c r="B253">
        <v>506212353</v>
      </c>
      <c r="C253" s="60">
        <v>45934</v>
      </c>
      <c r="D253" s="60" t="s">
        <v>1356</v>
      </c>
      <c r="E253">
        <v>5100</v>
      </c>
      <c r="L253" t="str">
        <f t="shared" si="3"/>
        <v>KI7506212353,</v>
      </c>
    </row>
    <row r="254" spans="1:12" hidden="1">
      <c r="A254" t="s">
        <v>1347</v>
      </c>
      <c r="B254">
        <v>506249425</v>
      </c>
      <c r="C254" s="60">
        <v>45934</v>
      </c>
      <c r="D254" s="60" t="s">
        <v>1356</v>
      </c>
      <c r="E254">
        <v>2898</v>
      </c>
      <c r="L254" t="str">
        <f t="shared" si="3"/>
        <v>KI7506249425,</v>
      </c>
    </row>
    <row r="255" spans="1:12" hidden="1">
      <c r="A255" t="s">
        <v>1330</v>
      </c>
      <c r="B255">
        <v>506259531</v>
      </c>
      <c r="C255" s="60">
        <v>45934</v>
      </c>
      <c r="D255" s="60" t="s">
        <v>1356</v>
      </c>
      <c r="E255">
        <v>0</v>
      </c>
      <c r="L255" t="str">
        <f t="shared" si="3"/>
        <v>KI7506259531,</v>
      </c>
    </row>
    <row r="256" spans="1:12" hidden="1">
      <c r="A256" t="s">
        <v>1322</v>
      </c>
      <c r="B256">
        <v>506266111</v>
      </c>
      <c r="C256" s="60">
        <v>45934</v>
      </c>
      <c r="D256" s="60" t="s">
        <v>1356</v>
      </c>
      <c r="E256">
        <v>3486</v>
      </c>
      <c r="L256" t="str">
        <f t="shared" si="3"/>
        <v>KI7506266111,</v>
      </c>
    </row>
    <row r="257" spans="1:12" hidden="1">
      <c r="A257" t="s">
        <v>1299</v>
      </c>
      <c r="B257">
        <v>506267579</v>
      </c>
      <c r="C257" s="60">
        <v>45934</v>
      </c>
      <c r="D257" s="60" t="s">
        <v>1356</v>
      </c>
      <c r="E257">
        <v>1449</v>
      </c>
      <c r="L257" t="str">
        <f t="shared" si="3"/>
        <v>KI7506267579,</v>
      </c>
    </row>
    <row r="258" spans="1:12" hidden="1">
      <c r="A258" t="s">
        <v>1334</v>
      </c>
      <c r="B258">
        <v>506270121</v>
      </c>
      <c r="C258" s="60">
        <v>45934</v>
      </c>
      <c r="D258" s="60" t="s">
        <v>1356</v>
      </c>
      <c r="E258">
        <v>1100</v>
      </c>
      <c r="L258" t="str">
        <f t="shared" si="3"/>
        <v>KI7506270121,</v>
      </c>
    </row>
    <row r="259" spans="1:12" hidden="1">
      <c r="A259" t="s">
        <v>1278</v>
      </c>
      <c r="B259">
        <v>506270382</v>
      </c>
      <c r="C259" s="60">
        <v>45934</v>
      </c>
      <c r="D259" s="60" t="s">
        <v>1356</v>
      </c>
      <c r="E259">
        <v>2275</v>
      </c>
      <c r="L259" t="str">
        <f t="shared" ref="L259:L322" si="4">""&amp;A259&amp;","</f>
        <v>KI7506270382,</v>
      </c>
    </row>
    <row r="260" spans="1:12" hidden="1">
      <c r="A260" t="s">
        <v>1297</v>
      </c>
      <c r="B260">
        <v>506273055</v>
      </c>
      <c r="C260" s="60">
        <v>45934</v>
      </c>
      <c r="D260" s="60" t="s">
        <v>1356</v>
      </c>
      <c r="E260">
        <v>6499</v>
      </c>
      <c r="L260" t="str">
        <f t="shared" si="4"/>
        <v>KI7506273055,</v>
      </c>
    </row>
    <row r="261" spans="1:12" hidden="1">
      <c r="A261" t="s">
        <v>1352</v>
      </c>
      <c r="B261">
        <v>507278583</v>
      </c>
      <c r="C261" s="60">
        <v>45934</v>
      </c>
      <c r="D261" s="60" t="s">
        <v>1356</v>
      </c>
      <c r="E261">
        <v>1280</v>
      </c>
      <c r="L261" t="str">
        <f t="shared" si="4"/>
        <v>RW7507278583,</v>
      </c>
    </row>
    <row r="262" spans="1:12" hidden="1">
      <c r="A262" t="s">
        <v>1348</v>
      </c>
      <c r="B262">
        <v>508380317</v>
      </c>
      <c r="C262" s="60">
        <v>45934</v>
      </c>
      <c r="D262" s="60" t="s">
        <v>1356</v>
      </c>
      <c r="E262">
        <v>2008</v>
      </c>
      <c r="L262" t="str">
        <f t="shared" si="4"/>
        <v>LE7508380317,</v>
      </c>
    </row>
    <row r="263" spans="1:12" hidden="1">
      <c r="A263" t="s">
        <v>1308</v>
      </c>
      <c r="B263">
        <v>508385887</v>
      </c>
      <c r="C263" s="60">
        <v>45934</v>
      </c>
      <c r="D263" s="60" t="s">
        <v>1356</v>
      </c>
      <c r="E263">
        <v>2950</v>
      </c>
      <c r="L263" t="str">
        <f t="shared" si="4"/>
        <v>LE7508385887,</v>
      </c>
    </row>
    <row r="264" spans="1:12" hidden="1">
      <c r="A264" t="s">
        <v>1293</v>
      </c>
      <c r="B264">
        <v>508386241</v>
      </c>
      <c r="C264" s="60">
        <v>45934</v>
      </c>
      <c r="D264" s="60" t="s">
        <v>1356</v>
      </c>
      <c r="E264">
        <v>4800</v>
      </c>
      <c r="L264" t="str">
        <f t="shared" si="4"/>
        <v>LE7508386241,</v>
      </c>
    </row>
    <row r="265" spans="1:12" hidden="1">
      <c r="A265" t="s">
        <v>1355</v>
      </c>
      <c r="B265">
        <v>508388071</v>
      </c>
      <c r="C265" s="60">
        <v>45934</v>
      </c>
      <c r="D265" s="60" t="s">
        <v>1356</v>
      </c>
      <c r="E265">
        <v>1350</v>
      </c>
      <c r="L265" t="str">
        <f t="shared" si="4"/>
        <v>LE7508388071,</v>
      </c>
    </row>
    <row r="266" spans="1:12" hidden="1">
      <c r="A266" t="s">
        <v>1289</v>
      </c>
      <c r="B266">
        <v>508388628</v>
      </c>
      <c r="C266" s="60">
        <v>45934</v>
      </c>
      <c r="D266" s="60" t="s">
        <v>1356</v>
      </c>
      <c r="E266">
        <v>1377.5</v>
      </c>
      <c r="L266" t="str">
        <f t="shared" si="4"/>
        <v>LE7508388628,</v>
      </c>
    </row>
    <row r="267" spans="1:12" hidden="1">
      <c r="A267" t="s">
        <v>1280</v>
      </c>
      <c r="B267">
        <v>508392339</v>
      </c>
      <c r="C267" s="60">
        <v>45934</v>
      </c>
      <c r="D267" s="60" t="s">
        <v>1356</v>
      </c>
      <c r="E267">
        <v>1599</v>
      </c>
      <c r="L267" t="str">
        <f t="shared" si="4"/>
        <v>LE7508392339,</v>
      </c>
    </row>
    <row r="268" spans="1:12" hidden="1">
      <c r="A268" t="s">
        <v>1276</v>
      </c>
      <c r="B268">
        <v>508393877</v>
      </c>
      <c r="C268" s="60">
        <v>45934</v>
      </c>
      <c r="D268" s="60" t="s">
        <v>1356</v>
      </c>
      <c r="E268">
        <v>3750</v>
      </c>
      <c r="L268" t="str">
        <f t="shared" si="4"/>
        <v>LE7508393877,</v>
      </c>
    </row>
    <row r="269" spans="1:12" hidden="1">
      <c r="A269" t="s">
        <v>1279</v>
      </c>
      <c r="B269">
        <v>508394415</v>
      </c>
      <c r="C269" s="60">
        <v>45934</v>
      </c>
      <c r="D269" s="60" t="s">
        <v>1356</v>
      </c>
      <c r="E269">
        <v>0</v>
      </c>
      <c r="L269" t="str">
        <f t="shared" si="4"/>
        <v>LE7508394415,</v>
      </c>
    </row>
    <row r="270" spans="1:12" hidden="1">
      <c r="A270" t="s">
        <v>1343</v>
      </c>
      <c r="B270">
        <v>508404231</v>
      </c>
      <c r="C270" s="60">
        <v>45934</v>
      </c>
      <c r="D270" s="60" t="s">
        <v>1356</v>
      </c>
      <c r="E270">
        <v>699</v>
      </c>
      <c r="L270" t="str">
        <f t="shared" si="4"/>
        <v>LE7508404231,</v>
      </c>
    </row>
    <row r="271" spans="1:12" hidden="1">
      <c r="A271" t="s">
        <v>1304</v>
      </c>
      <c r="B271">
        <v>508556905</v>
      </c>
      <c r="C271" s="60">
        <v>45934</v>
      </c>
      <c r="D271" s="60" t="s">
        <v>1356</v>
      </c>
      <c r="E271">
        <v>1200</v>
      </c>
      <c r="L271" t="str">
        <f t="shared" si="4"/>
        <v>DP7508556905,</v>
      </c>
    </row>
    <row r="272" spans="1:12" hidden="1">
      <c r="A272" t="s">
        <v>1309</v>
      </c>
      <c r="B272">
        <v>508573943</v>
      </c>
      <c r="C272" s="60">
        <v>45934</v>
      </c>
      <c r="D272" s="60" t="s">
        <v>1356</v>
      </c>
      <c r="E272">
        <v>1850</v>
      </c>
      <c r="L272" t="str">
        <f t="shared" si="4"/>
        <v>KI7508573943,</v>
      </c>
    </row>
    <row r="273" spans="1:12" hidden="1">
      <c r="A273" t="s">
        <v>1274</v>
      </c>
      <c r="B273">
        <v>508574487</v>
      </c>
      <c r="C273" s="60">
        <v>45934</v>
      </c>
      <c r="D273" s="60" t="s">
        <v>1356</v>
      </c>
      <c r="E273">
        <v>2565</v>
      </c>
      <c r="L273" t="str">
        <f t="shared" si="4"/>
        <v>KI7508574487,</v>
      </c>
    </row>
    <row r="274" spans="1:12" hidden="1">
      <c r="A274" t="s">
        <v>1339</v>
      </c>
      <c r="B274">
        <v>510079254</v>
      </c>
      <c r="C274" s="60">
        <v>45934</v>
      </c>
      <c r="D274" s="60" t="s">
        <v>1356</v>
      </c>
      <c r="E274">
        <v>7092</v>
      </c>
      <c r="L274" t="str">
        <f t="shared" si="4"/>
        <v>KI7510079254,</v>
      </c>
    </row>
    <row r="275" spans="1:12" hidden="1">
      <c r="A275" t="s">
        <v>1340</v>
      </c>
      <c r="B275">
        <v>510080862</v>
      </c>
      <c r="C275" s="60">
        <v>45934</v>
      </c>
      <c r="D275" s="60" t="s">
        <v>1356</v>
      </c>
      <c r="E275">
        <v>16168</v>
      </c>
      <c r="L275" t="str">
        <f t="shared" si="4"/>
        <v>KI7510080862,</v>
      </c>
    </row>
    <row r="276" spans="1:12" hidden="1">
      <c r="A276" t="s">
        <v>1285</v>
      </c>
      <c r="B276">
        <v>510084719</v>
      </c>
      <c r="C276" s="60">
        <v>45934</v>
      </c>
      <c r="D276" s="60" t="s">
        <v>1356</v>
      </c>
      <c r="E276">
        <v>1774</v>
      </c>
      <c r="L276" t="str">
        <f t="shared" si="4"/>
        <v>KI7510084719,</v>
      </c>
    </row>
    <row r="277" spans="1:12" hidden="1">
      <c r="A277" t="s">
        <v>1315</v>
      </c>
      <c r="B277">
        <v>512511573</v>
      </c>
      <c r="C277" s="60">
        <v>45934</v>
      </c>
      <c r="D277" s="60" t="s">
        <v>1356</v>
      </c>
      <c r="E277">
        <v>1199</v>
      </c>
      <c r="L277" t="str">
        <f t="shared" si="4"/>
        <v>ID7512511573,</v>
      </c>
    </row>
    <row r="278" spans="1:12" hidden="1">
      <c r="A278" t="s">
        <v>1310</v>
      </c>
      <c r="B278">
        <v>512512886</v>
      </c>
      <c r="C278" s="60">
        <v>45934</v>
      </c>
      <c r="D278" s="60" t="s">
        <v>1356</v>
      </c>
      <c r="E278">
        <v>960</v>
      </c>
      <c r="L278" t="str">
        <f t="shared" si="4"/>
        <v>ID7512512886,</v>
      </c>
    </row>
    <row r="279" spans="1:12" hidden="1">
      <c r="A279" t="s">
        <v>1292</v>
      </c>
      <c r="B279">
        <v>512986455</v>
      </c>
      <c r="C279" s="60">
        <v>45934</v>
      </c>
      <c r="D279" s="60" t="s">
        <v>1356</v>
      </c>
      <c r="E279">
        <v>1299</v>
      </c>
      <c r="L279" t="str">
        <f t="shared" si="4"/>
        <v>MX7512986455,</v>
      </c>
    </row>
    <row r="280" spans="1:12" hidden="1">
      <c r="A280" t="s">
        <v>1344</v>
      </c>
      <c r="B280">
        <v>513546793</v>
      </c>
      <c r="C280" s="60">
        <v>45934</v>
      </c>
      <c r="D280" s="60" t="s">
        <v>1356</v>
      </c>
      <c r="E280">
        <v>2099</v>
      </c>
      <c r="L280" t="str">
        <f t="shared" si="4"/>
        <v>PW7513546793,</v>
      </c>
    </row>
    <row r="281" spans="1:12" hidden="1">
      <c r="A281" t="s">
        <v>1306</v>
      </c>
      <c r="B281">
        <v>513833598</v>
      </c>
      <c r="C281" s="60">
        <v>45934</v>
      </c>
      <c r="D281" s="60" t="s">
        <v>1356</v>
      </c>
      <c r="E281">
        <v>2700</v>
      </c>
      <c r="L281" t="str">
        <f t="shared" si="4"/>
        <v>AM7513833598,</v>
      </c>
    </row>
    <row r="282" spans="1:12" hidden="1">
      <c r="A282" t="s">
        <v>1331</v>
      </c>
      <c r="B282">
        <v>514178263</v>
      </c>
      <c r="C282" s="60">
        <v>45934</v>
      </c>
      <c r="D282" s="60" t="s">
        <v>1356</v>
      </c>
      <c r="E282">
        <v>1900</v>
      </c>
      <c r="L282" t="str">
        <f t="shared" si="4"/>
        <v>SP7514178263,</v>
      </c>
    </row>
    <row r="283" spans="1:12" hidden="1">
      <c r="A283" t="s">
        <v>1423</v>
      </c>
      <c r="B283">
        <v>508438680</v>
      </c>
      <c r="C283" s="60">
        <v>45939</v>
      </c>
      <c r="D283" t="s">
        <v>1540</v>
      </c>
      <c r="E283">
        <v>3753</v>
      </c>
      <c r="L283" t="str">
        <f t="shared" si="4"/>
        <v>LE7508438680,</v>
      </c>
    </row>
    <row r="284" spans="1:12" hidden="1">
      <c r="A284" t="s">
        <v>1424</v>
      </c>
      <c r="B284">
        <v>513550853</v>
      </c>
      <c r="C284" s="60">
        <v>45939</v>
      </c>
      <c r="D284" t="s">
        <v>1540</v>
      </c>
      <c r="E284">
        <v>1999</v>
      </c>
      <c r="L284" t="str">
        <f t="shared" si="4"/>
        <v>PW7513550853,</v>
      </c>
    </row>
    <row r="285" spans="1:12" hidden="1">
      <c r="A285" t="s">
        <v>1425</v>
      </c>
      <c r="B285">
        <v>12174426</v>
      </c>
      <c r="C285" s="60">
        <v>45939</v>
      </c>
      <c r="D285" t="s">
        <v>1540</v>
      </c>
      <c r="E285">
        <v>1890</v>
      </c>
      <c r="L285" t="str">
        <f t="shared" si="4"/>
        <v>PW9012174426,</v>
      </c>
    </row>
    <row r="286" spans="1:12" hidden="1">
      <c r="A286" t="s">
        <v>1426</v>
      </c>
      <c r="B286">
        <v>11781400</v>
      </c>
      <c r="C286" s="60">
        <v>45939</v>
      </c>
      <c r="D286" t="s">
        <v>1540</v>
      </c>
      <c r="E286">
        <v>2453</v>
      </c>
      <c r="L286" t="str">
        <f t="shared" si="4"/>
        <v>GW9011781400,</v>
      </c>
    </row>
    <row r="287" spans="1:12" hidden="1">
      <c r="A287" t="s">
        <v>1427</v>
      </c>
      <c r="B287">
        <v>512021338</v>
      </c>
      <c r="C287" s="60">
        <v>45939</v>
      </c>
      <c r="D287" t="s">
        <v>1540</v>
      </c>
      <c r="E287">
        <v>22800</v>
      </c>
      <c r="L287" t="str">
        <f t="shared" si="4"/>
        <v>FS7512021338,</v>
      </c>
    </row>
    <row r="288" spans="1:12" hidden="1">
      <c r="A288" t="s">
        <v>1428</v>
      </c>
      <c r="B288">
        <v>512044732</v>
      </c>
      <c r="C288" s="60">
        <v>45939</v>
      </c>
      <c r="D288" t="s">
        <v>1540</v>
      </c>
      <c r="E288">
        <v>5150</v>
      </c>
      <c r="L288" t="str">
        <f t="shared" si="4"/>
        <v>FS7512044732,</v>
      </c>
    </row>
    <row r="289" spans="1:12" hidden="1">
      <c r="A289" t="s">
        <v>1429</v>
      </c>
      <c r="B289">
        <v>512024362</v>
      </c>
      <c r="C289" s="60">
        <v>45939</v>
      </c>
      <c r="D289" t="s">
        <v>1540</v>
      </c>
      <c r="E289">
        <v>7800</v>
      </c>
      <c r="L289" t="str">
        <f t="shared" si="4"/>
        <v>FS7512024362,</v>
      </c>
    </row>
    <row r="290" spans="1:12" hidden="1">
      <c r="A290" t="s">
        <v>1430</v>
      </c>
      <c r="B290">
        <v>12185593</v>
      </c>
      <c r="C290" s="60">
        <v>45939</v>
      </c>
      <c r="D290" t="s">
        <v>1540</v>
      </c>
      <c r="E290">
        <v>3180</v>
      </c>
      <c r="L290" t="str">
        <f t="shared" si="4"/>
        <v>KI9012185593,</v>
      </c>
    </row>
    <row r="291" spans="1:12" hidden="1">
      <c r="A291" t="s">
        <v>1431</v>
      </c>
      <c r="B291">
        <v>12171386</v>
      </c>
      <c r="C291" s="60">
        <v>45939</v>
      </c>
      <c r="D291" t="s">
        <v>1540</v>
      </c>
      <c r="E291">
        <v>620</v>
      </c>
      <c r="L291" t="str">
        <f t="shared" si="4"/>
        <v>LE9012171386,</v>
      </c>
    </row>
    <row r="292" spans="1:12" hidden="1">
      <c r="A292" t="s">
        <v>1432</v>
      </c>
      <c r="B292">
        <v>12000337</v>
      </c>
      <c r="C292" s="60">
        <v>45939</v>
      </c>
      <c r="D292" t="s">
        <v>1540</v>
      </c>
      <c r="E292">
        <v>1496</v>
      </c>
      <c r="L292" t="str">
        <f t="shared" si="4"/>
        <v>FS9012000337,</v>
      </c>
    </row>
    <row r="293" spans="1:12" hidden="1">
      <c r="A293" t="s">
        <v>1433</v>
      </c>
      <c r="B293">
        <v>503532268</v>
      </c>
      <c r="C293" s="60">
        <v>45939</v>
      </c>
      <c r="D293" t="s">
        <v>1540</v>
      </c>
      <c r="E293">
        <v>2890</v>
      </c>
      <c r="L293" t="str">
        <f t="shared" si="4"/>
        <v>WC7503532268,</v>
      </c>
    </row>
    <row r="294" spans="1:12" hidden="1">
      <c r="A294" t="s">
        <v>1434</v>
      </c>
      <c r="B294">
        <v>512034430</v>
      </c>
      <c r="C294" s="60">
        <v>45939</v>
      </c>
      <c r="D294" t="s">
        <v>1540</v>
      </c>
      <c r="E294">
        <v>950</v>
      </c>
      <c r="L294" t="str">
        <f t="shared" si="4"/>
        <v>FS7512034430,</v>
      </c>
    </row>
    <row r="295" spans="1:12" hidden="1">
      <c r="A295" t="s">
        <v>1435</v>
      </c>
      <c r="B295">
        <v>508455404</v>
      </c>
      <c r="C295" s="60">
        <v>45939</v>
      </c>
      <c r="D295" t="s">
        <v>1540</v>
      </c>
      <c r="E295">
        <v>3400</v>
      </c>
      <c r="L295" t="str">
        <f t="shared" si="4"/>
        <v>LE7508455404,</v>
      </c>
    </row>
    <row r="296" spans="1:12" hidden="1">
      <c r="A296" t="s">
        <v>1436</v>
      </c>
      <c r="B296">
        <v>12173355</v>
      </c>
      <c r="C296" s="60">
        <v>45939</v>
      </c>
      <c r="D296" t="s">
        <v>1540</v>
      </c>
      <c r="E296">
        <v>1160</v>
      </c>
      <c r="L296" t="str">
        <f t="shared" si="4"/>
        <v>LE9012173355,</v>
      </c>
    </row>
    <row r="297" spans="1:12" hidden="1">
      <c r="A297" t="s">
        <v>1437</v>
      </c>
      <c r="B297">
        <v>512063463</v>
      </c>
      <c r="C297" s="60">
        <v>45939</v>
      </c>
      <c r="D297" t="s">
        <v>1540</v>
      </c>
      <c r="E297">
        <v>2500</v>
      </c>
      <c r="L297" t="str">
        <f t="shared" si="4"/>
        <v>FS7512063463,</v>
      </c>
    </row>
    <row r="298" spans="1:12" hidden="1">
      <c r="A298" t="s">
        <v>1438</v>
      </c>
      <c r="B298">
        <v>508431147</v>
      </c>
      <c r="C298" s="60">
        <v>45939</v>
      </c>
      <c r="D298" t="s">
        <v>1540</v>
      </c>
      <c r="E298">
        <v>1549</v>
      </c>
      <c r="L298" t="str">
        <f t="shared" si="4"/>
        <v>LE7508431147,</v>
      </c>
    </row>
    <row r="299" spans="1:12" hidden="1">
      <c r="A299" t="s">
        <v>1439</v>
      </c>
      <c r="B299">
        <v>508433496</v>
      </c>
      <c r="C299" s="60">
        <v>45939</v>
      </c>
      <c r="D299" t="s">
        <v>1540</v>
      </c>
      <c r="E299">
        <v>1171</v>
      </c>
      <c r="L299" t="str">
        <f t="shared" si="4"/>
        <v>LE7508433496,</v>
      </c>
    </row>
    <row r="300" spans="1:12" hidden="1">
      <c r="A300" t="s">
        <v>1440</v>
      </c>
      <c r="B300">
        <v>507522410</v>
      </c>
      <c r="C300" s="60">
        <v>45939</v>
      </c>
      <c r="D300" t="s">
        <v>1540</v>
      </c>
      <c r="E300">
        <v>2950</v>
      </c>
      <c r="L300" t="str">
        <f t="shared" si="4"/>
        <v>SL7507522410,</v>
      </c>
    </row>
    <row r="301" spans="1:12" hidden="1">
      <c r="A301" t="s">
        <v>1441</v>
      </c>
      <c r="B301">
        <v>512071205</v>
      </c>
      <c r="C301" s="60">
        <v>45939</v>
      </c>
      <c r="D301" t="s">
        <v>1540</v>
      </c>
      <c r="E301">
        <v>1700</v>
      </c>
      <c r="L301" t="str">
        <f t="shared" si="4"/>
        <v>FS7512071205,</v>
      </c>
    </row>
    <row r="302" spans="1:12" hidden="1">
      <c r="A302" t="s">
        <v>1442</v>
      </c>
      <c r="B302">
        <v>12176320</v>
      </c>
      <c r="C302" s="60">
        <v>45939</v>
      </c>
      <c r="D302" t="s">
        <v>1540</v>
      </c>
      <c r="E302">
        <v>4010</v>
      </c>
      <c r="L302" t="str">
        <f t="shared" si="4"/>
        <v>ID9012176320,</v>
      </c>
    </row>
    <row r="303" spans="1:12" hidden="1">
      <c r="A303" t="s">
        <v>1443</v>
      </c>
      <c r="B303">
        <v>508444019</v>
      </c>
      <c r="C303" s="60">
        <v>45939</v>
      </c>
      <c r="D303" t="s">
        <v>1540</v>
      </c>
      <c r="E303">
        <v>0</v>
      </c>
      <c r="L303" t="str">
        <f t="shared" si="4"/>
        <v>LE7508444019,</v>
      </c>
    </row>
    <row r="304" spans="1:12" hidden="1">
      <c r="A304" t="s">
        <v>1444</v>
      </c>
      <c r="B304">
        <v>508663626</v>
      </c>
      <c r="C304" s="60">
        <v>45939</v>
      </c>
      <c r="D304" t="s">
        <v>1540</v>
      </c>
      <c r="E304">
        <v>0</v>
      </c>
      <c r="L304" t="str">
        <f t="shared" si="4"/>
        <v>KI7508663626,</v>
      </c>
    </row>
    <row r="305" spans="1:12" hidden="1">
      <c r="A305" t="s">
        <v>1445</v>
      </c>
      <c r="B305">
        <v>500696490</v>
      </c>
      <c r="C305" s="60">
        <v>45939</v>
      </c>
      <c r="D305" t="s">
        <v>1540</v>
      </c>
      <c r="E305">
        <v>2999</v>
      </c>
      <c r="L305" t="str">
        <f t="shared" si="4"/>
        <v>KI7500696490,</v>
      </c>
    </row>
    <row r="306" spans="1:12" hidden="1">
      <c r="A306" t="s">
        <v>1446</v>
      </c>
      <c r="B306">
        <v>507559972</v>
      </c>
      <c r="C306" s="60">
        <v>45939</v>
      </c>
      <c r="D306" t="s">
        <v>1540</v>
      </c>
      <c r="E306">
        <v>4000</v>
      </c>
      <c r="L306" t="str">
        <f t="shared" si="4"/>
        <v>MG7507559972,</v>
      </c>
    </row>
    <row r="307" spans="1:12" hidden="1">
      <c r="A307" t="s">
        <v>1447</v>
      </c>
      <c r="B307">
        <v>12166563</v>
      </c>
      <c r="C307" s="60">
        <v>45939</v>
      </c>
      <c r="D307" t="s">
        <v>1540</v>
      </c>
      <c r="E307">
        <v>2189</v>
      </c>
      <c r="L307" t="str">
        <f t="shared" si="4"/>
        <v>KI9012166563,</v>
      </c>
    </row>
    <row r="308" spans="1:12" hidden="1">
      <c r="A308" t="s">
        <v>1448</v>
      </c>
      <c r="B308">
        <v>513835117</v>
      </c>
      <c r="C308" s="60">
        <v>45939</v>
      </c>
      <c r="D308" t="s">
        <v>1540</v>
      </c>
      <c r="E308">
        <v>1999</v>
      </c>
      <c r="L308" t="str">
        <f t="shared" si="4"/>
        <v>AM7513835117,</v>
      </c>
    </row>
    <row r="309" spans="1:12" hidden="1">
      <c r="A309" t="s">
        <v>1449</v>
      </c>
      <c r="B309">
        <v>12188600</v>
      </c>
      <c r="C309" s="60">
        <v>45939</v>
      </c>
      <c r="D309" t="s">
        <v>1540</v>
      </c>
      <c r="E309">
        <v>1045</v>
      </c>
      <c r="L309" t="str">
        <f t="shared" si="4"/>
        <v>LE9012188600,</v>
      </c>
    </row>
    <row r="310" spans="1:12" hidden="1">
      <c r="A310" t="s">
        <v>1450</v>
      </c>
      <c r="B310">
        <v>512067291</v>
      </c>
      <c r="C310" s="60">
        <v>45939</v>
      </c>
      <c r="D310" t="s">
        <v>1540</v>
      </c>
      <c r="E310">
        <v>0</v>
      </c>
      <c r="L310" t="str">
        <f t="shared" si="4"/>
        <v>FS7512067291,</v>
      </c>
    </row>
    <row r="311" spans="1:12" hidden="1">
      <c r="A311" t="s">
        <v>1451</v>
      </c>
      <c r="B311">
        <v>513989548</v>
      </c>
      <c r="C311" s="60">
        <v>45939</v>
      </c>
      <c r="D311" t="s">
        <v>1540</v>
      </c>
      <c r="E311">
        <v>890</v>
      </c>
      <c r="L311" t="str">
        <f t="shared" si="4"/>
        <v>KL7513989548,</v>
      </c>
    </row>
    <row r="312" spans="1:12" hidden="1">
      <c r="A312" t="s">
        <v>1452</v>
      </c>
      <c r="B312">
        <v>12176860</v>
      </c>
      <c r="C312" s="60">
        <v>45939</v>
      </c>
      <c r="D312" t="s">
        <v>1540</v>
      </c>
      <c r="E312">
        <v>827</v>
      </c>
      <c r="L312" t="str">
        <f t="shared" si="4"/>
        <v>LE9012176860,</v>
      </c>
    </row>
    <row r="313" spans="1:12" hidden="1">
      <c r="A313" t="s">
        <v>1453</v>
      </c>
      <c r="B313">
        <v>508427861</v>
      </c>
      <c r="C313" s="60">
        <v>45939</v>
      </c>
      <c r="D313" t="s">
        <v>1540</v>
      </c>
      <c r="E313">
        <v>6200</v>
      </c>
      <c r="L313" t="str">
        <f t="shared" si="4"/>
        <v>LE7508427861,</v>
      </c>
    </row>
    <row r="314" spans="1:12" hidden="1">
      <c r="A314" t="s">
        <v>1454</v>
      </c>
      <c r="B314">
        <v>508440485</v>
      </c>
      <c r="C314" s="60">
        <v>45939</v>
      </c>
      <c r="D314" t="s">
        <v>1540</v>
      </c>
      <c r="E314">
        <v>1508</v>
      </c>
      <c r="L314" t="str">
        <f t="shared" si="4"/>
        <v>LE7508440485,</v>
      </c>
    </row>
    <row r="315" spans="1:12" hidden="1">
      <c r="A315" t="s">
        <v>1455</v>
      </c>
      <c r="B315">
        <v>12180275</v>
      </c>
      <c r="C315" s="60">
        <v>45939</v>
      </c>
      <c r="D315" t="s">
        <v>1540</v>
      </c>
      <c r="E315">
        <v>570</v>
      </c>
      <c r="L315" t="str">
        <f t="shared" si="4"/>
        <v>KI9012180275,</v>
      </c>
    </row>
    <row r="316" spans="1:12" hidden="1">
      <c r="A316" t="s">
        <v>1456</v>
      </c>
      <c r="B316">
        <v>507559803</v>
      </c>
      <c r="C316" s="60">
        <v>45939</v>
      </c>
      <c r="D316" t="s">
        <v>1540</v>
      </c>
      <c r="E316">
        <v>2199</v>
      </c>
      <c r="L316" t="str">
        <f t="shared" si="4"/>
        <v>MG7507559803,</v>
      </c>
    </row>
    <row r="317" spans="1:12" hidden="1">
      <c r="A317" t="s">
        <v>1457</v>
      </c>
      <c r="B317">
        <v>514314216</v>
      </c>
      <c r="C317" s="60">
        <v>45939</v>
      </c>
      <c r="D317" t="s">
        <v>1540</v>
      </c>
      <c r="E317">
        <v>1298</v>
      </c>
      <c r="L317" t="str">
        <f t="shared" si="4"/>
        <v>OK7514314216,</v>
      </c>
    </row>
    <row r="318" spans="1:12" hidden="1">
      <c r="A318" t="s">
        <v>1458</v>
      </c>
      <c r="B318">
        <v>513709657</v>
      </c>
      <c r="C318" s="60">
        <v>45939</v>
      </c>
      <c r="D318" t="s">
        <v>1540</v>
      </c>
      <c r="E318">
        <v>6000</v>
      </c>
      <c r="L318" t="str">
        <f t="shared" si="4"/>
        <v>KA7513709657,</v>
      </c>
    </row>
    <row r="319" spans="1:12" hidden="1">
      <c r="A319" t="s">
        <v>1459</v>
      </c>
      <c r="B319">
        <v>513951679</v>
      </c>
      <c r="C319" s="60">
        <v>45939</v>
      </c>
      <c r="D319" t="s">
        <v>1540</v>
      </c>
      <c r="E319">
        <v>1800</v>
      </c>
      <c r="L319" t="str">
        <f t="shared" si="4"/>
        <v>TM7513951679,</v>
      </c>
    </row>
    <row r="320" spans="1:12" hidden="1">
      <c r="A320" t="s">
        <v>1460</v>
      </c>
      <c r="B320">
        <v>512077698</v>
      </c>
      <c r="C320" s="60">
        <v>45939</v>
      </c>
      <c r="D320" t="s">
        <v>1540</v>
      </c>
      <c r="E320">
        <v>2650</v>
      </c>
      <c r="L320" t="str">
        <f t="shared" si="4"/>
        <v>FS7512077698,</v>
      </c>
    </row>
    <row r="321" spans="1:12" hidden="1">
      <c r="A321" t="s">
        <v>1461</v>
      </c>
      <c r="B321">
        <v>12183787</v>
      </c>
      <c r="C321" s="60">
        <v>45939</v>
      </c>
      <c r="D321" t="s">
        <v>1540</v>
      </c>
      <c r="E321">
        <v>1835</v>
      </c>
      <c r="L321" t="str">
        <f t="shared" si="4"/>
        <v>LE9012183787,</v>
      </c>
    </row>
    <row r="322" spans="1:12" hidden="1">
      <c r="A322" t="s">
        <v>1462</v>
      </c>
      <c r="B322">
        <v>12194755</v>
      </c>
      <c r="C322" s="60">
        <v>45939</v>
      </c>
      <c r="D322" t="s">
        <v>1540</v>
      </c>
      <c r="E322">
        <v>557</v>
      </c>
      <c r="L322" t="str">
        <f t="shared" si="4"/>
        <v>KI9012194755,</v>
      </c>
    </row>
    <row r="323" spans="1:12" hidden="1">
      <c r="A323" t="s">
        <v>1463</v>
      </c>
      <c r="B323">
        <v>12190260</v>
      </c>
      <c r="C323" s="60">
        <v>45939</v>
      </c>
      <c r="D323" t="s">
        <v>1540</v>
      </c>
      <c r="E323">
        <v>0</v>
      </c>
      <c r="L323" t="str">
        <f t="shared" ref="L323:L386" si="5">""&amp;A323&amp;","</f>
        <v>LE9012190260,</v>
      </c>
    </row>
    <row r="324" spans="1:12" hidden="1">
      <c r="A324" t="s">
        <v>1464</v>
      </c>
      <c r="B324">
        <v>12158708</v>
      </c>
      <c r="C324" s="60">
        <v>45939</v>
      </c>
      <c r="D324" t="s">
        <v>1540</v>
      </c>
      <c r="E324">
        <v>1229</v>
      </c>
      <c r="L324" t="str">
        <f t="shared" si="5"/>
        <v>KI9012158708,</v>
      </c>
    </row>
    <row r="325" spans="1:12" hidden="1">
      <c r="A325" t="s">
        <v>1465</v>
      </c>
      <c r="B325">
        <v>508422886</v>
      </c>
      <c r="C325" s="60">
        <v>45939</v>
      </c>
      <c r="D325" t="s">
        <v>1540</v>
      </c>
      <c r="E325">
        <v>1999</v>
      </c>
      <c r="L325" t="str">
        <f t="shared" si="5"/>
        <v>LE7508422886,</v>
      </c>
    </row>
    <row r="326" spans="1:12" hidden="1">
      <c r="A326" t="s">
        <v>1466</v>
      </c>
      <c r="B326">
        <v>12198315</v>
      </c>
      <c r="C326" s="60">
        <v>45939</v>
      </c>
      <c r="D326" t="s">
        <v>1540</v>
      </c>
      <c r="E326">
        <v>1200</v>
      </c>
      <c r="L326" t="str">
        <f t="shared" si="5"/>
        <v>ID9012198315,</v>
      </c>
    </row>
    <row r="327" spans="1:12" hidden="1">
      <c r="A327" t="s">
        <v>1467</v>
      </c>
      <c r="B327">
        <v>60745540</v>
      </c>
      <c r="C327" s="60">
        <v>45939</v>
      </c>
      <c r="D327" t="s">
        <v>1540</v>
      </c>
      <c r="E327">
        <v>5650</v>
      </c>
      <c r="L327" t="str">
        <f t="shared" si="5"/>
        <v>KN0060745540,</v>
      </c>
    </row>
    <row r="328" spans="1:12" hidden="1">
      <c r="A328" t="s">
        <v>1468</v>
      </c>
      <c r="B328">
        <v>12172850</v>
      </c>
      <c r="C328" s="60">
        <v>45939</v>
      </c>
      <c r="D328" t="s">
        <v>1540</v>
      </c>
      <c r="E328">
        <v>495</v>
      </c>
      <c r="L328" t="str">
        <f t="shared" si="5"/>
        <v>LE9012172850,</v>
      </c>
    </row>
    <row r="329" spans="1:12" hidden="1">
      <c r="A329" t="s">
        <v>1469</v>
      </c>
      <c r="B329">
        <v>503724817</v>
      </c>
      <c r="C329" s="60">
        <v>45939</v>
      </c>
      <c r="D329" t="s">
        <v>1540</v>
      </c>
      <c r="E329">
        <v>3000</v>
      </c>
      <c r="L329" t="str">
        <f t="shared" si="5"/>
        <v>JG7503724817,</v>
      </c>
    </row>
    <row r="330" spans="1:12" hidden="1">
      <c r="A330" t="s">
        <v>1470</v>
      </c>
      <c r="B330">
        <v>12181306</v>
      </c>
      <c r="C330" s="60">
        <v>45939</v>
      </c>
      <c r="D330" t="s">
        <v>1540</v>
      </c>
      <c r="E330">
        <v>319</v>
      </c>
      <c r="L330" t="str">
        <f t="shared" si="5"/>
        <v>LE9012181306,</v>
      </c>
    </row>
    <row r="331" spans="1:12" hidden="1">
      <c r="A331" t="s">
        <v>1471</v>
      </c>
      <c r="B331">
        <v>12175788</v>
      </c>
      <c r="C331" s="60">
        <v>45939</v>
      </c>
      <c r="D331" t="s">
        <v>1540</v>
      </c>
      <c r="E331">
        <v>1079</v>
      </c>
      <c r="L331" t="str">
        <f t="shared" si="5"/>
        <v>LE9012175788,</v>
      </c>
    </row>
    <row r="332" spans="1:12" hidden="1">
      <c r="A332" t="s">
        <v>1472</v>
      </c>
      <c r="B332">
        <v>12189476</v>
      </c>
      <c r="C332" s="60">
        <v>45939</v>
      </c>
      <c r="D332" t="s">
        <v>1540</v>
      </c>
      <c r="E332">
        <v>0</v>
      </c>
      <c r="L332" t="str">
        <f t="shared" si="5"/>
        <v>KI9012189476,</v>
      </c>
    </row>
    <row r="333" spans="1:12" hidden="1">
      <c r="A333" t="s">
        <v>1473</v>
      </c>
      <c r="B333">
        <v>12176000</v>
      </c>
      <c r="C333" s="60">
        <v>45939</v>
      </c>
      <c r="D333" t="s">
        <v>1540</v>
      </c>
      <c r="E333">
        <v>489</v>
      </c>
      <c r="L333" t="str">
        <f t="shared" si="5"/>
        <v>LE9012176000,</v>
      </c>
    </row>
    <row r="334" spans="1:12" hidden="1">
      <c r="A334" t="s">
        <v>1474</v>
      </c>
      <c r="B334">
        <v>12193836</v>
      </c>
      <c r="C334" s="60">
        <v>45939</v>
      </c>
      <c r="D334" t="s">
        <v>1540</v>
      </c>
      <c r="E334">
        <v>767</v>
      </c>
      <c r="L334" t="str">
        <f t="shared" si="5"/>
        <v>LE9012193836,</v>
      </c>
    </row>
    <row r="335" spans="1:12" hidden="1">
      <c r="A335" t="s">
        <v>1475</v>
      </c>
      <c r="B335">
        <v>12181654</v>
      </c>
      <c r="C335" s="60">
        <v>45939</v>
      </c>
      <c r="D335" t="s">
        <v>1540</v>
      </c>
      <c r="E335">
        <v>0</v>
      </c>
      <c r="L335" t="str">
        <f t="shared" si="5"/>
        <v>LE9012181654,</v>
      </c>
    </row>
    <row r="336" spans="1:12" hidden="1">
      <c r="A336" t="s">
        <v>1476</v>
      </c>
      <c r="B336">
        <v>12189599</v>
      </c>
      <c r="C336" s="60">
        <v>45939</v>
      </c>
      <c r="D336" t="s">
        <v>1540</v>
      </c>
      <c r="E336">
        <v>999</v>
      </c>
      <c r="L336" t="str">
        <f t="shared" si="5"/>
        <v>MX9012189599,</v>
      </c>
    </row>
    <row r="337" spans="1:12" hidden="1">
      <c r="A337" t="s">
        <v>1477</v>
      </c>
      <c r="B337">
        <v>513963277</v>
      </c>
      <c r="C337" s="60">
        <v>45939</v>
      </c>
      <c r="D337" t="s">
        <v>1540</v>
      </c>
      <c r="E337">
        <v>1999</v>
      </c>
      <c r="L337" t="str">
        <f t="shared" si="5"/>
        <v>SW7513963277,</v>
      </c>
    </row>
    <row r="338" spans="1:12" hidden="1">
      <c r="A338" t="s">
        <v>1478</v>
      </c>
      <c r="B338">
        <v>508437558</v>
      </c>
      <c r="C338" s="60">
        <v>45939</v>
      </c>
      <c r="D338" t="s">
        <v>1540</v>
      </c>
      <c r="E338">
        <v>1849</v>
      </c>
      <c r="L338" t="str">
        <f t="shared" si="5"/>
        <v>LE7508437558,</v>
      </c>
    </row>
    <row r="339" spans="1:12" hidden="1">
      <c r="A339" t="s">
        <v>1479</v>
      </c>
      <c r="B339">
        <v>60867372</v>
      </c>
      <c r="C339" s="60">
        <v>45939</v>
      </c>
      <c r="D339" t="s">
        <v>1540</v>
      </c>
      <c r="E339">
        <v>1500</v>
      </c>
      <c r="L339" t="str">
        <f t="shared" si="5"/>
        <v>RW0060867372,</v>
      </c>
    </row>
    <row r="340" spans="1:12" hidden="1">
      <c r="A340" t="s">
        <v>1480</v>
      </c>
      <c r="B340">
        <v>512047933</v>
      </c>
      <c r="C340" s="60">
        <v>45939</v>
      </c>
      <c r="D340" t="s">
        <v>1540</v>
      </c>
      <c r="E340">
        <v>3000</v>
      </c>
      <c r="L340" t="str">
        <f t="shared" si="5"/>
        <v>FS7512047933,</v>
      </c>
    </row>
    <row r="341" spans="1:12" hidden="1">
      <c r="A341" t="s">
        <v>1481</v>
      </c>
      <c r="B341">
        <v>512078252</v>
      </c>
      <c r="C341" s="60">
        <v>45939</v>
      </c>
      <c r="D341" t="s">
        <v>1540</v>
      </c>
      <c r="E341">
        <v>3500</v>
      </c>
      <c r="L341" t="str">
        <f t="shared" si="5"/>
        <v>FS7512078252,</v>
      </c>
    </row>
    <row r="342" spans="1:12" hidden="1">
      <c r="A342" t="s">
        <v>1482</v>
      </c>
      <c r="B342">
        <v>12195348</v>
      </c>
      <c r="C342" s="60">
        <v>45939</v>
      </c>
      <c r="D342" t="s">
        <v>1540</v>
      </c>
      <c r="E342">
        <v>799</v>
      </c>
      <c r="L342" t="str">
        <f t="shared" si="5"/>
        <v>GW9012195348,</v>
      </c>
    </row>
    <row r="343" spans="1:12" hidden="1">
      <c r="A343" t="s">
        <v>1483</v>
      </c>
      <c r="B343">
        <v>12164651</v>
      </c>
      <c r="C343" s="60">
        <v>45939</v>
      </c>
      <c r="D343" t="s">
        <v>1540</v>
      </c>
      <c r="E343">
        <v>1299</v>
      </c>
      <c r="L343" t="str">
        <f t="shared" si="5"/>
        <v>MX9012164651,</v>
      </c>
    </row>
    <row r="344" spans="1:12" hidden="1">
      <c r="A344" t="s">
        <v>1484</v>
      </c>
      <c r="B344">
        <v>508657078</v>
      </c>
      <c r="C344" s="60">
        <v>45939</v>
      </c>
      <c r="D344" t="s">
        <v>1540</v>
      </c>
      <c r="E344">
        <v>2949</v>
      </c>
      <c r="L344" t="str">
        <f t="shared" si="5"/>
        <v>KI7508657078,</v>
      </c>
    </row>
    <row r="345" spans="1:12" hidden="1">
      <c r="A345" t="s">
        <v>1485</v>
      </c>
      <c r="B345">
        <v>12179646</v>
      </c>
      <c r="C345" s="60">
        <v>45939</v>
      </c>
      <c r="D345" t="s">
        <v>1540</v>
      </c>
      <c r="E345">
        <v>397</v>
      </c>
      <c r="L345" t="str">
        <f t="shared" si="5"/>
        <v>LE9012179646,</v>
      </c>
    </row>
    <row r="346" spans="1:12" hidden="1">
      <c r="A346" t="s">
        <v>1486</v>
      </c>
      <c r="B346">
        <v>12194417</v>
      </c>
      <c r="C346" s="60">
        <v>45939</v>
      </c>
      <c r="D346" t="s">
        <v>1540</v>
      </c>
      <c r="E346">
        <v>1049</v>
      </c>
      <c r="L346" t="str">
        <f t="shared" si="5"/>
        <v>FS9012194417,</v>
      </c>
    </row>
    <row r="347" spans="1:12" hidden="1">
      <c r="A347" t="s">
        <v>1487</v>
      </c>
      <c r="B347">
        <v>507289461</v>
      </c>
      <c r="C347" s="60">
        <v>45939</v>
      </c>
      <c r="D347" t="s">
        <v>1540</v>
      </c>
      <c r="E347">
        <v>1400</v>
      </c>
      <c r="L347" t="str">
        <f t="shared" si="5"/>
        <v>RW7507289461,</v>
      </c>
    </row>
    <row r="348" spans="1:12" hidden="1">
      <c r="A348" t="s">
        <v>1488</v>
      </c>
      <c r="B348">
        <v>507559880</v>
      </c>
      <c r="C348" s="60">
        <v>45939</v>
      </c>
      <c r="D348" t="s">
        <v>1540</v>
      </c>
      <c r="E348">
        <v>3000</v>
      </c>
      <c r="L348" t="str">
        <f t="shared" si="5"/>
        <v>MG7507559880,</v>
      </c>
    </row>
    <row r="349" spans="1:12" hidden="1">
      <c r="A349" t="s">
        <v>1489</v>
      </c>
      <c r="B349">
        <v>12178091</v>
      </c>
      <c r="C349" s="60">
        <v>45939</v>
      </c>
      <c r="D349" t="s">
        <v>1540</v>
      </c>
      <c r="E349">
        <v>423</v>
      </c>
      <c r="L349" t="str">
        <f t="shared" si="5"/>
        <v>KI9012178091,</v>
      </c>
    </row>
    <row r="350" spans="1:12" hidden="1">
      <c r="A350" t="s">
        <v>1490</v>
      </c>
      <c r="B350">
        <v>512356779</v>
      </c>
      <c r="C350" s="60">
        <v>45939</v>
      </c>
      <c r="D350" t="s">
        <v>1540</v>
      </c>
      <c r="E350">
        <v>2190</v>
      </c>
      <c r="L350" t="str">
        <f t="shared" si="5"/>
        <v>FS7512356779,</v>
      </c>
    </row>
    <row r="351" spans="1:12" hidden="1">
      <c r="A351" t="s">
        <v>1491</v>
      </c>
      <c r="B351">
        <v>12184929</v>
      </c>
      <c r="C351" s="60">
        <v>45939</v>
      </c>
      <c r="D351" t="s">
        <v>1540</v>
      </c>
      <c r="E351">
        <v>0</v>
      </c>
      <c r="L351" t="str">
        <f t="shared" si="5"/>
        <v>KI9012184929,</v>
      </c>
    </row>
    <row r="352" spans="1:12" hidden="1">
      <c r="A352" t="s">
        <v>1492</v>
      </c>
      <c r="B352">
        <v>12191178</v>
      </c>
      <c r="C352" s="60">
        <v>45939</v>
      </c>
      <c r="D352" t="s">
        <v>1540</v>
      </c>
      <c r="E352">
        <v>880</v>
      </c>
      <c r="L352" t="str">
        <f t="shared" si="5"/>
        <v>KI9012191178,</v>
      </c>
    </row>
    <row r="353" spans="1:12" hidden="1">
      <c r="A353" t="s">
        <v>1493</v>
      </c>
      <c r="B353">
        <v>12190711</v>
      </c>
      <c r="C353" s="60">
        <v>45939</v>
      </c>
      <c r="D353" t="s">
        <v>1540</v>
      </c>
      <c r="E353">
        <v>1229</v>
      </c>
      <c r="L353" t="str">
        <f t="shared" si="5"/>
        <v>KI9012190711,</v>
      </c>
    </row>
    <row r="354" spans="1:12" hidden="1">
      <c r="A354" t="s">
        <v>1494</v>
      </c>
      <c r="B354">
        <v>12183460</v>
      </c>
      <c r="C354" s="60">
        <v>45939</v>
      </c>
      <c r="D354" t="s">
        <v>1540</v>
      </c>
      <c r="E354">
        <v>530</v>
      </c>
      <c r="L354" t="str">
        <f t="shared" si="5"/>
        <v>KI9012183460,</v>
      </c>
    </row>
    <row r="355" spans="1:12" hidden="1">
      <c r="A355" t="s">
        <v>1495</v>
      </c>
      <c r="B355">
        <v>12187002</v>
      </c>
      <c r="C355" s="60">
        <v>45939</v>
      </c>
      <c r="D355" t="s">
        <v>1540</v>
      </c>
      <c r="E355">
        <v>1620</v>
      </c>
      <c r="L355" t="str">
        <f t="shared" si="5"/>
        <v>LE9012187002,</v>
      </c>
    </row>
    <row r="356" spans="1:12" hidden="1">
      <c r="A356" t="s">
        <v>1496</v>
      </c>
      <c r="B356">
        <v>512075506</v>
      </c>
      <c r="C356" s="60">
        <v>45939</v>
      </c>
      <c r="D356" t="s">
        <v>1540</v>
      </c>
      <c r="E356">
        <v>0</v>
      </c>
      <c r="L356" t="str">
        <f t="shared" si="5"/>
        <v>FS7512075506,</v>
      </c>
    </row>
    <row r="357" spans="1:12" hidden="1">
      <c r="A357" t="s">
        <v>1497</v>
      </c>
      <c r="B357">
        <v>11781197</v>
      </c>
      <c r="C357" s="60">
        <v>45939</v>
      </c>
      <c r="D357" t="s">
        <v>1540</v>
      </c>
      <c r="E357">
        <v>1899</v>
      </c>
      <c r="L357" t="str">
        <f t="shared" si="5"/>
        <v>JR9011781197,</v>
      </c>
    </row>
    <row r="358" spans="1:12" hidden="1">
      <c r="A358" t="s">
        <v>1498</v>
      </c>
      <c r="B358">
        <v>508426199</v>
      </c>
      <c r="C358" s="60">
        <v>45939</v>
      </c>
      <c r="D358" t="s">
        <v>1540</v>
      </c>
      <c r="E358">
        <v>17688</v>
      </c>
      <c r="L358" t="str">
        <f t="shared" si="5"/>
        <v>LE7508426199,</v>
      </c>
    </row>
    <row r="359" spans="1:12" hidden="1">
      <c r="A359" t="s">
        <v>1499</v>
      </c>
      <c r="B359">
        <v>508663413</v>
      </c>
      <c r="C359" s="60">
        <v>45939</v>
      </c>
      <c r="D359" t="s">
        <v>1540</v>
      </c>
      <c r="E359">
        <v>700</v>
      </c>
      <c r="L359" t="str">
        <f t="shared" si="5"/>
        <v>KI7508663413,</v>
      </c>
    </row>
    <row r="360" spans="1:12" hidden="1">
      <c r="A360" t="s">
        <v>1500</v>
      </c>
      <c r="B360">
        <v>12179647</v>
      </c>
      <c r="C360" s="60">
        <v>45939</v>
      </c>
      <c r="D360" t="s">
        <v>1540</v>
      </c>
      <c r="E360">
        <v>397</v>
      </c>
      <c r="L360" t="str">
        <f t="shared" si="5"/>
        <v>LE9012179647,</v>
      </c>
    </row>
    <row r="361" spans="1:12" hidden="1">
      <c r="A361" t="s">
        <v>1501</v>
      </c>
      <c r="B361">
        <v>12181044</v>
      </c>
      <c r="C361" s="60">
        <v>45939</v>
      </c>
      <c r="D361" t="s">
        <v>1540</v>
      </c>
      <c r="E361">
        <v>629</v>
      </c>
      <c r="L361" t="str">
        <f t="shared" si="5"/>
        <v>KI9012181044,</v>
      </c>
    </row>
    <row r="362" spans="1:12" hidden="1">
      <c r="A362" t="s">
        <v>1502</v>
      </c>
      <c r="B362">
        <v>508440876</v>
      </c>
      <c r="C362" s="60">
        <v>45939</v>
      </c>
      <c r="D362" t="s">
        <v>1540</v>
      </c>
      <c r="E362">
        <v>1700</v>
      </c>
      <c r="L362" t="str">
        <f t="shared" si="5"/>
        <v>LE7508440876,</v>
      </c>
    </row>
    <row r="363" spans="1:12" hidden="1">
      <c r="A363" t="s">
        <v>1503</v>
      </c>
      <c r="B363">
        <v>12178219</v>
      </c>
      <c r="C363" s="60">
        <v>45939</v>
      </c>
      <c r="D363" t="s">
        <v>1540</v>
      </c>
      <c r="E363">
        <v>239</v>
      </c>
      <c r="L363" t="str">
        <f t="shared" si="5"/>
        <v>LE9012178219,</v>
      </c>
    </row>
    <row r="364" spans="1:12" hidden="1">
      <c r="A364" t="s">
        <v>1504</v>
      </c>
      <c r="B364">
        <v>12182627</v>
      </c>
      <c r="C364" s="60">
        <v>45939</v>
      </c>
      <c r="D364" t="s">
        <v>1540</v>
      </c>
      <c r="E364">
        <v>1080</v>
      </c>
      <c r="L364" t="str">
        <f t="shared" si="5"/>
        <v>KI9012182627,</v>
      </c>
    </row>
    <row r="365" spans="1:12" hidden="1">
      <c r="A365" t="s">
        <v>1505</v>
      </c>
      <c r="B365">
        <v>12177636</v>
      </c>
      <c r="C365" s="60">
        <v>45939</v>
      </c>
      <c r="D365" t="s">
        <v>1540</v>
      </c>
      <c r="E365">
        <v>559</v>
      </c>
      <c r="L365" t="str">
        <f t="shared" si="5"/>
        <v>KI9012177636,</v>
      </c>
    </row>
    <row r="366" spans="1:12" hidden="1">
      <c r="A366" t="s">
        <v>1506</v>
      </c>
      <c r="B366">
        <v>12167793</v>
      </c>
      <c r="C366" s="60">
        <v>45939</v>
      </c>
      <c r="D366" t="s">
        <v>1540</v>
      </c>
      <c r="E366">
        <v>1043</v>
      </c>
      <c r="L366" t="str">
        <f t="shared" si="5"/>
        <v>LE9012167793,</v>
      </c>
    </row>
    <row r="367" spans="1:12" hidden="1">
      <c r="A367" t="s">
        <v>1507</v>
      </c>
      <c r="B367">
        <v>12173007</v>
      </c>
      <c r="C367" s="60">
        <v>45939</v>
      </c>
      <c r="D367" t="s">
        <v>1540</v>
      </c>
      <c r="E367">
        <v>945</v>
      </c>
      <c r="L367" t="str">
        <f t="shared" si="5"/>
        <v>KI9012173007,</v>
      </c>
    </row>
    <row r="368" spans="1:12" hidden="1">
      <c r="A368" t="s">
        <v>1508</v>
      </c>
      <c r="B368">
        <v>508652363</v>
      </c>
      <c r="C368" s="60">
        <v>45939</v>
      </c>
      <c r="D368" t="s">
        <v>1540</v>
      </c>
      <c r="E368">
        <v>0</v>
      </c>
      <c r="L368" t="str">
        <f t="shared" si="5"/>
        <v>KI7508652363,</v>
      </c>
    </row>
    <row r="369" spans="1:12" hidden="1">
      <c r="A369" t="s">
        <v>1509</v>
      </c>
      <c r="B369">
        <v>508650473</v>
      </c>
      <c r="C369" s="60">
        <v>45939</v>
      </c>
      <c r="D369" t="s">
        <v>1540</v>
      </c>
      <c r="E369">
        <v>5500</v>
      </c>
      <c r="L369" t="str">
        <f t="shared" si="5"/>
        <v>KI7508650473,</v>
      </c>
    </row>
    <row r="370" spans="1:12" hidden="1">
      <c r="A370" t="s">
        <v>1510</v>
      </c>
      <c r="B370">
        <v>508443670</v>
      </c>
      <c r="C370" s="60">
        <v>45939</v>
      </c>
      <c r="D370" t="s">
        <v>1540</v>
      </c>
      <c r="E370">
        <v>4996</v>
      </c>
      <c r="L370" t="str">
        <f t="shared" si="5"/>
        <v>LE7508443670,</v>
      </c>
    </row>
    <row r="371" spans="1:12" hidden="1">
      <c r="A371" t="s">
        <v>1511</v>
      </c>
      <c r="B371">
        <v>12165438</v>
      </c>
      <c r="C371" s="60">
        <v>45939</v>
      </c>
      <c r="D371" t="s">
        <v>1540</v>
      </c>
      <c r="E371">
        <v>1397</v>
      </c>
      <c r="L371" t="str">
        <f t="shared" si="5"/>
        <v>KI9012165438,</v>
      </c>
    </row>
    <row r="372" spans="1:12" hidden="1">
      <c r="A372" t="s">
        <v>1512</v>
      </c>
      <c r="B372">
        <v>512075357</v>
      </c>
      <c r="C372" s="60">
        <v>45939</v>
      </c>
      <c r="D372" t="s">
        <v>1540</v>
      </c>
      <c r="E372">
        <v>0</v>
      </c>
      <c r="L372" t="str">
        <f t="shared" si="5"/>
        <v>FS7512075357,</v>
      </c>
    </row>
    <row r="373" spans="1:12" hidden="1">
      <c r="A373" t="s">
        <v>1513</v>
      </c>
      <c r="B373">
        <v>12194586</v>
      </c>
      <c r="C373" s="60">
        <v>45939</v>
      </c>
      <c r="D373" t="s">
        <v>1540</v>
      </c>
      <c r="E373">
        <v>429</v>
      </c>
      <c r="L373" t="str">
        <f t="shared" si="5"/>
        <v>LE9012194586,</v>
      </c>
    </row>
    <row r="374" spans="1:12" hidden="1">
      <c r="A374" t="s">
        <v>1514</v>
      </c>
      <c r="B374">
        <v>12186112</v>
      </c>
      <c r="C374" s="60">
        <v>45939</v>
      </c>
      <c r="D374" t="s">
        <v>1540</v>
      </c>
      <c r="E374">
        <v>2120</v>
      </c>
      <c r="L374" t="str">
        <f t="shared" si="5"/>
        <v>KI9012186112,</v>
      </c>
    </row>
    <row r="375" spans="1:12" hidden="1">
      <c r="A375" t="s">
        <v>1515</v>
      </c>
      <c r="B375">
        <v>507287979</v>
      </c>
      <c r="C375" s="60">
        <v>45939</v>
      </c>
      <c r="D375" t="s">
        <v>1540</v>
      </c>
      <c r="E375">
        <v>1799</v>
      </c>
      <c r="L375" t="str">
        <f t="shared" si="5"/>
        <v>RW7507287979,</v>
      </c>
    </row>
    <row r="376" spans="1:12" hidden="1">
      <c r="A376" t="s">
        <v>1516</v>
      </c>
      <c r="B376">
        <v>12186921</v>
      </c>
      <c r="C376" s="60">
        <v>45939</v>
      </c>
      <c r="D376" t="s">
        <v>1540</v>
      </c>
      <c r="E376">
        <v>1979</v>
      </c>
      <c r="L376" t="str">
        <f t="shared" si="5"/>
        <v>KI9012186921,</v>
      </c>
    </row>
    <row r="377" spans="1:12" hidden="1">
      <c r="A377" t="s">
        <v>1517</v>
      </c>
      <c r="B377">
        <v>12170903</v>
      </c>
      <c r="C377" s="60">
        <v>45939</v>
      </c>
      <c r="D377" t="s">
        <v>1540</v>
      </c>
      <c r="E377">
        <v>2905</v>
      </c>
      <c r="L377" t="str">
        <f t="shared" si="5"/>
        <v>LE9012170903,</v>
      </c>
    </row>
    <row r="378" spans="1:12" hidden="1">
      <c r="A378" t="s">
        <v>1518</v>
      </c>
      <c r="B378">
        <v>12191820</v>
      </c>
      <c r="C378" s="60">
        <v>45939</v>
      </c>
      <c r="D378" t="s">
        <v>1540</v>
      </c>
      <c r="E378">
        <v>727</v>
      </c>
      <c r="L378" t="str">
        <f t="shared" si="5"/>
        <v>RN9012191820,</v>
      </c>
    </row>
    <row r="379" spans="1:12" hidden="1">
      <c r="A379" t="s">
        <v>1519</v>
      </c>
      <c r="B379">
        <v>12178213</v>
      </c>
      <c r="C379" s="60">
        <v>45939</v>
      </c>
      <c r="D379" t="s">
        <v>1540</v>
      </c>
      <c r="E379">
        <v>405</v>
      </c>
      <c r="L379" t="str">
        <f t="shared" si="5"/>
        <v>LE9012178213,</v>
      </c>
    </row>
    <row r="380" spans="1:12" hidden="1">
      <c r="A380" t="s">
        <v>1520</v>
      </c>
      <c r="B380">
        <v>12184882</v>
      </c>
      <c r="C380" s="60">
        <v>45939</v>
      </c>
      <c r="D380" t="s">
        <v>1540</v>
      </c>
      <c r="E380">
        <v>373</v>
      </c>
      <c r="L380" t="str">
        <f t="shared" si="5"/>
        <v>KI9012184882,</v>
      </c>
    </row>
    <row r="381" spans="1:12" hidden="1">
      <c r="A381" t="s">
        <v>1521</v>
      </c>
      <c r="B381">
        <v>508443891</v>
      </c>
      <c r="C381" s="60">
        <v>45939</v>
      </c>
      <c r="D381" t="s">
        <v>1540</v>
      </c>
      <c r="E381">
        <v>1100</v>
      </c>
      <c r="L381" t="str">
        <f t="shared" si="5"/>
        <v>LE7508443891,</v>
      </c>
    </row>
    <row r="382" spans="1:12" hidden="1">
      <c r="A382" t="s">
        <v>1522</v>
      </c>
      <c r="B382">
        <v>12168872</v>
      </c>
      <c r="C382" s="60">
        <v>45939</v>
      </c>
      <c r="D382" t="s">
        <v>1540</v>
      </c>
      <c r="E382">
        <v>1031</v>
      </c>
      <c r="L382" t="str">
        <f t="shared" si="5"/>
        <v>LE9012168872,</v>
      </c>
    </row>
    <row r="383" spans="1:12" hidden="1">
      <c r="A383" t="s">
        <v>1523</v>
      </c>
      <c r="B383">
        <v>12183461</v>
      </c>
      <c r="C383" s="60">
        <v>45939</v>
      </c>
      <c r="D383" t="s">
        <v>1540</v>
      </c>
      <c r="E383">
        <v>350</v>
      </c>
      <c r="L383" t="str">
        <f t="shared" si="5"/>
        <v>KI9012183461,</v>
      </c>
    </row>
    <row r="384" spans="1:12" hidden="1">
      <c r="A384" t="s">
        <v>1524</v>
      </c>
      <c r="B384">
        <v>12180695</v>
      </c>
      <c r="C384" s="60">
        <v>45939</v>
      </c>
      <c r="D384" t="s">
        <v>1540</v>
      </c>
      <c r="E384">
        <v>597</v>
      </c>
      <c r="L384" t="str">
        <f t="shared" si="5"/>
        <v>KI9012180695,</v>
      </c>
    </row>
    <row r="385" spans="1:12" hidden="1">
      <c r="A385" t="s">
        <v>1525</v>
      </c>
      <c r="B385">
        <v>512075383</v>
      </c>
      <c r="C385" s="60">
        <v>45939</v>
      </c>
      <c r="D385" t="s">
        <v>1540</v>
      </c>
      <c r="E385">
        <v>0</v>
      </c>
      <c r="L385" t="str">
        <f t="shared" si="5"/>
        <v>FS7512075383,</v>
      </c>
    </row>
    <row r="386" spans="1:12" hidden="1">
      <c r="A386" t="s">
        <v>1526</v>
      </c>
      <c r="B386">
        <v>12182748</v>
      </c>
      <c r="C386" s="60">
        <v>45939</v>
      </c>
      <c r="D386" t="s">
        <v>1540</v>
      </c>
      <c r="E386">
        <v>888</v>
      </c>
      <c r="L386" t="str">
        <f t="shared" si="5"/>
        <v>LE9012182748,</v>
      </c>
    </row>
    <row r="387" spans="1:12" hidden="1">
      <c r="A387" t="s">
        <v>1527</v>
      </c>
      <c r="B387">
        <v>12182134</v>
      </c>
      <c r="C387" s="60">
        <v>45939</v>
      </c>
      <c r="D387" t="s">
        <v>1540</v>
      </c>
      <c r="E387">
        <v>413</v>
      </c>
      <c r="L387" t="str">
        <f t="shared" ref="L387:L450" si="6">""&amp;A387&amp;","</f>
        <v>KI9012182134,</v>
      </c>
    </row>
    <row r="388" spans="1:12" hidden="1">
      <c r="A388" t="s">
        <v>1528</v>
      </c>
      <c r="B388">
        <v>512076781</v>
      </c>
      <c r="C388" s="60">
        <v>45939</v>
      </c>
      <c r="D388" t="s">
        <v>1540</v>
      </c>
      <c r="E388">
        <v>0</v>
      </c>
      <c r="L388" t="str">
        <f t="shared" si="6"/>
        <v>FS7512076781,</v>
      </c>
    </row>
    <row r="389" spans="1:12" hidden="1">
      <c r="A389" t="s">
        <v>1529</v>
      </c>
      <c r="B389">
        <v>12181170</v>
      </c>
      <c r="C389" s="60">
        <v>45939</v>
      </c>
      <c r="D389" t="s">
        <v>1540</v>
      </c>
      <c r="E389">
        <v>403</v>
      </c>
      <c r="L389" t="str">
        <f t="shared" si="6"/>
        <v>LE9012181170,</v>
      </c>
    </row>
    <row r="390" spans="1:12" hidden="1">
      <c r="A390" t="s">
        <v>1530</v>
      </c>
      <c r="B390">
        <v>507289451</v>
      </c>
      <c r="C390" s="60">
        <v>45939</v>
      </c>
      <c r="D390" t="s">
        <v>1540</v>
      </c>
      <c r="E390">
        <v>1950</v>
      </c>
      <c r="L390" t="str">
        <f t="shared" si="6"/>
        <v>RW7507289451,</v>
      </c>
    </row>
    <row r="391" spans="1:12" hidden="1">
      <c r="A391" t="s">
        <v>1531</v>
      </c>
      <c r="B391">
        <v>12182225</v>
      </c>
      <c r="C391" s="60">
        <v>45939</v>
      </c>
      <c r="D391" t="s">
        <v>1540</v>
      </c>
      <c r="E391">
        <v>685</v>
      </c>
      <c r="L391" t="str">
        <f t="shared" si="6"/>
        <v>LE9012182225,</v>
      </c>
    </row>
    <row r="392" spans="1:12" hidden="1">
      <c r="A392" t="s">
        <v>1532</v>
      </c>
      <c r="B392">
        <v>12195540</v>
      </c>
      <c r="C392" s="60">
        <v>45939</v>
      </c>
      <c r="D392" t="s">
        <v>1540</v>
      </c>
      <c r="E392">
        <v>1888</v>
      </c>
      <c r="L392" t="str">
        <f t="shared" si="6"/>
        <v>LE9012195540,</v>
      </c>
    </row>
    <row r="393" spans="1:12" hidden="1">
      <c r="A393" t="s">
        <v>1533</v>
      </c>
      <c r="B393">
        <v>508646121</v>
      </c>
      <c r="C393" s="60">
        <v>45939</v>
      </c>
      <c r="D393" t="s">
        <v>1540</v>
      </c>
      <c r="E393">
        <v>1160</v>
      </c>
      <c r="L393" t="str">
        <f t="shared" si="6"/>
        <v>KI7508646121,</v>
      </c>
    </row>
    <row r="394" spans="1:12" hidden="1">
      <c r="A394" t="s">
        <v>1534</v>
      </c>
      <c r="B394">
        <v>12190185</v>
      </c>
      <c r="C394" s="60">
        <v>45939</v>
      </c>
      <c r="D394" t="s">
        <v>1540</v>
      </c>
      <c r="E394">
        <v>2316</v>
      </c>
      <c r="L394" t="str">
        <f t="shared" si="6"/>
        <v>KI9012190185,</v>
      </c>
    </row>
    <row r="395" spans="1:12" hidden="1">
      <c r="A395" t="s">
        <v>1535</v>
      </c>
      <c r="B395">
        <v>12184236</v>
      </c>
      <c r="C395" s="60">
        <v>45939</v>
      </c>
      <c r="D395" t="s">
        <v>1540</v>
      </c>
      <c r="E395">
        <v>2053</v>
      </c>
      <c r="L395" t="str">
        <f t="shared" si="6"/>
        <v>KI9012184236,</v>
      </c>
    </row>
    <row r="396" spans="1:12" hidden="1">
      <c r="A396" t="s">
        <v>1536</v>
      </c>
      <c r="B396">
        <v>508439130</v>
      </c>
      <c r="C396" s="60">
        <v>45939</v>
      </c>
      <c r="D396" t="s">
        <v>1540</v>
      </c>
      <c r="E396">
        <v>763</v>
      </c>
      <c r="L396" t="str">
        <f t="shared" si="6"/>
        <v>LE7508439130,</v>
      </c>
    </row>
    <row r="397" spans="1:12" hidden="1">
      <c r="A397" t="s">
        <v>1537</v>
      </c>
      <c r="B397">
        <v>508438674</v>
      </c>
      <c r="C397" s="60">
        <v>45939</v>
      </c>
      <c r="D397" t="s">
        <v>1540</v>
      </c>
      <c r="E397">
        <v>4921</v>
      </c>
      <c r="L397" t="str">
        <f t="shared" si="6"/>
        <v>LE7508438674,</v>
      </c>
    </row>
    <row r="398" spans="1:12" hidden="1">
      <c r="A398" t="s">
        <v>1538</v>
      </c>
      <c r="B398">
        <v>12175637</v>
      </c>
      <c r="C398" s="60">
        <v>45939</v>
      </c>
      <c r="D398" t="s">
        <v>1540</v>
      </c>
      <c r="E398">
        <v>515</v>
      </c>
      <c r="L398" t="str">
        <f t="shared" si="6"/>
        <v>LE9012175637,</v>
      </c>
    </row>
    <row r="399" spans="1:12" hidden="1">
      <c r="A399" t="s">
        <v>1539</v>
      </c>
      <c r="B399">
        <v>12176601</v>
      </c>
      <c r="C399" s="60">
        <v>45939</v>
      </c>
      <c r="D399" t="s">
        <v>1540</v>
      </c>
      <c r="E399">
        <v>2139</v>
      </c>
      <c r="L399" t="str">
        <f t="shared" si="6"/>
        <v>LE9012176601,</v>
      </c>
    </row>
    <row r="400" spans="1:12" hidden="1">
      <c r="A400" t="s">
        <v>1596</v>
      </c>
      <c r="B400">
        <v>12181235</v>
      </c>
      <c r="C400" s="60">
        <v>45941</v>
      </c>
      <c r="D400" t="s">
        <v>1706</v>
      </c>
      <c r="E400">
        <v>2300</v>
      </c>
      <c r="L400" t="str">
        <f t="shared" si="6"/>
        <v>KI9012181235,</v>
      </c>
    </row>
    <row r="401" spans="1:12" hidden="1">
      <c r="A401" t="s">
        <v>1597</v>
      </c>
      <c r="B401">
        <v>508715606</v>
      </c>
      <c r="C401" s="60">
        <v>45941</v>
      </c>
      <c r="D401" t="s">
        <v>1706</v>
      </c>
      <c r="E401">
        <v>1499</v>
      </c>
      <c r="L401" t="str">
        <f t="shared" si="6"/>
        <v>KI7508715606,</v>
      </c>
    </row>
    <row r="402" spans="1:12" hidden="1">
      <c r="A402" t="s">
        <v>1598</v>
      </c>
      <c r="B402">
        <v>12190035</v>
      </c>
      <c r="C402" s="60">
        <v>45941</v>
      </c>
      <c r="D402" t="s">
        <v>1706</v>
      </c>
      <c r="E402">
        <v>333</v>
      </c>
      <c r="L402" t="str">
        <f t="shared" si="6"/>
        <v>KI9012190035,</v>
      </c>
    </row>
    <row r="403" spans="1:12" hidden="1">
      <c r="A403" t="s">
        <v>1599</v>
      </c>
      <c r="B403">
        <v>12198264</v>
      </c>
      <c r="C403" s="60">
        <v>45941</v>
      </c>
      <c r="D403" t="s">
        <v>1706</v>
      </c>
      <c r="E403">
        <v>679</v>
      </c>
      <c r="L403" t="str">
        <f t="shared" si="6"/>
        <v>LE9012198264,</v>
      </c>
    </row>
    <row r="404" spans="1:12" hidden="1">
      <c r="A404" t="s">
        <v>1600</v>
      </c>
      <c r="B404">
        <v>513620228</v>
      </c>
      <c r="C404" s="60">
        <v>45941</v>
      </c>
      <c r="D404" t="s">
        <v>1706</v>
      </c>
      <c r="E404">
        <v>1699</v>
      </c>
      <c r="L404" t="str">
        <f t="shared" si="6"/>
        <v>JR7513620228,</v>
      </c>
    </row>
    <row r="405" spans="1:12" hidden="1">
      <c r="A405" t="s">
        <v>1601</v>
      </c>
      <c r="B405">
        <v>513551945</v>
      </c>
      <c r="C405" s="60">
        <v>45941</v>
      </c>
      <c r="D405" t="s">
        <v>1706</v>
      </c>
      <c r="E405">
        <v>0</v>
      </c>
      <c r="L405" t="str">
        <f t="shared" si="6"/>
        <v>PW7513551945,</v>
      </c>
    </row>
    <row r="406" spans="1:12" hidden="1">
      <c r="A406" t="s">
        <v>1602</v>
      </c>
      <c r="B406">
        <v>514187709</v>
      </c>
      <c r="C406" s="60">
        <v>45941</v>
      </c>
      <c r="D406" t="s">
        <v>1706</v>
      </c>
      <c r="E406">
        <v>0</v>
      </c>
      <c r="L406" t="str">
        <f t="shared" si="6"/>
        <v>GT7514187709,</v>
      </c>
    </row>
    <row r="407" spans="1:12" hidden="1">
      <c r="A407" t="s">
        <v>1603</v>
      </c>
      <c r="B407">
        <v>508447011</v>
      </c>
      <c r="C407" s="60">
        <v>45941</v>
      </c>
      <c r="D407" t="s">
        <v>1706</v>
      </c>
      <c r="E407">
        <v>4883.84</v>
      </c>
      <c r="L407" t="str">
        <f t="shared" si="6"/>
        <v>LE7508447011,</v>
      </c>
    </row>
    <row r="408" spans="1:12" hidden="1">
      <c r="A408" t="s">
        <v>1604</v>
      </c>
      <c r="B408">
        <v>12190214</v>
      </c>
      <c r="C408" s="60">
        <v>45941</v>
      </c>
      <c r="D408" t="s">
        <v>1706</v>
      </c>
      <c r="E408">
        <v>449</v>
      </c>
      <c r="L408" t="str">
        <f t="shared" si="6"/>
        <v>LE9012190214,</v>
      </c>
    </row>
    <row r="409" spans="1:12" hidden="1">
      <c r="A409" t="s">
        <v>1605</v>
      </c>
      <c r="B409">
        <v>508466872</v>
      </c>
      <c r="C409" s="60">
        <v>45941</v>
      </c>
      <c r="D409" t="s">
        <v>1706</v>
      </c>
      <c r="E409">
        <v>1499</v>
      </c>
      <c r="L409" t="str">
        <f t="shared" si="6"/>
        <v>LE7508466872,</v>
      </c>
    </row>
    <row r="410" spans="1:12" hidden="1">
      <c r="A410" t="s">
        <v>1606</v>
      </c>
      <c r="B410">
        <v>12199649</v>
      </c>
      <c r="C410" s="60">
        <v>45941</v>
      </c>
      <c r="D410" t="s">
        <v>1706</v>
      </c>
      <c r="E410">
        <v>778</v>
      </c>
      <c r="L410" t="str">
        <f t="shared" si="6"/>
        <v>LE9012199649,</v>
      </c>
    </row>
    <row r="411" spans="1:12" hidden="1">
      <c r="A411" t="s">
        <v>1607</v>
      </c>
      <c r="B411">
        <v>508480825</v>
      </c>
      <c r="C411" s="60">
        <v>45941</v>
      </c>
      <c r="D411" t="s">
        <v>1706</v>
      </c>
      <c r="E411">
        <v>3550</v>
      </c>
      <c r="L411" t="str">
        <f t="shared" si="6"/>
        <v>LE7508480825,</v>
      </c>
    </row>
    <row r="412" spans="1:12" hidden="1">
      <c r="A412" t="s">
        <v>1608</v>
      </c>
      <c r="B412">
        <v>12185203</v>
      </c>
      <c r="C412" s="60">
        <v>45941</v>
      </c>
      <c r="D412" t="s">
        <v>1706</v>
      </c>
      <c r="E412">
        <v>0</v>
      </c>
      <c r="L412" t="str">
        <f t="shared" si="6"/>
        <v>KI9012185203,</v>
      </c>
    </row>
    <row r="413" spans="1:12" hidden="1">
      <c r="A413" t="s">
        <v>1609</v>
      </c>
      <c r="B413">
        <v>12196714</v>
      </c>
      <c r="C413" s="60">
        <v>45941</v>
      </c>
      <c r="D413" t="s">
        <v>1706</v>
      </c>
      <c r="E413">
        <v>275</v>
      </c>
      <c r="L413" t="str">
        <f t="shared" si="6"/>
        <v>LE9012196714,</v>
      </c>
    </row>
    <row r="414" spans="1:12" hidden="1">
      <c r="A414" t="s">
        <v>1610</v>
      </c>
      <c r="B414">
        <v>12186696</v>
      </c>
      <c r="C414" s="60">
        <v>45941</v>
      </c>
      <c r="D414" t="s">
        <v>1706</v>
      </c>
      <c r="E414">
        <v>629</v>
      </c>
      <c r="L414" t="str">
        <f t="shared" si="6"/>
        <v>KI9012186696,</v>
      </c>
    </row>
    <row r="415" spans="1:12" hidden="1">
      <c r="A415" t="s">
        <v>1611</v>
      </c>
      <c r="B415">
        <v>12179644</v>
      </c>
      <c r="C415" s="60">
        <v>45941</v>
      </c>
      <c r="D415" t="s">
        <v>1706</v>
      </c>
      <c r="E415">
        <v>999</v>
      </c>
      <c r="L415" t="str">
        <f t="shared" si="6"/>
        <v>SP9012179644,</v>
      </c>
    </row>
    <row r="416" spans="1:12" hidden="1">
      <c r="A416" t="s">
        <v>1612</v>
      </c>
      <c r="B416">
        <v>512069464</v>
      </c>
      <c r="C416" s="60">
        <v>45941</v>
      </c>
      <c r="D416" t="s">
        <v>1706</v>
      </c>
      <c r="E416">
        <v>3000</v>
      </c>
      <c r="L416" t="str">
        <f t="shared" si="6"/>
        <v>FS7512069464,</v>
      </c>
    </row>
    <row r="417" spans="1:12" hidden="1">
      <c r="A417" t="s">
        <v>1613</v>
      </c>
      <c r="B417">
        <v>11564616</v>
      </c>
      <c r="C417" s="60">
        <v>45941</v>
      </c>
      <c r="D417" t="s">
        <v>1706</v>
      </c>
      <c r="E417">
        <v>0</v>
      </c>
      <c r="L417" t="str">
        <f t="shared" si="6"/>
        <v>ID9011564616,</v>
      </c>
    </row>
    <row r="418" spans="1:12" hidden="1">
      <c r="A418" t="s">
        <v>1614</v>
      </c>
      <c r="B418">
        <v>508730619</v>
      </c>
      <c r="C418" s="60">
        <v>45941</v>
      </c>
      <c r="D418" t="s">
        <v>1706</v>
      </c>
      <c r="E418">
        <v>0</v>
      </c>
      <c r="L418" t="str">
        <f t="shared" si="6"/>
        <v>KI7508730619,</v>
      </c>
    </row>
    <row r="419" spans="1:12" hidden="1">
      <c r="A419" t="s">
        <v>1615</v>
      </c>
      <c r="B419">
        <v>12182754</v>
      </c>
      <c r="C419" s="60">
        <v>45941</v>
      </c>
      <c r="D419" t="s">
        <v>1706</v>
      </c>
      <c r="E419">
        <v>591</v>
      </c>
      <c r="L419" t="str">
        <f t="shared" si="6"/>
        <v>KI9012182754,</v>
      </c>
    </row>
    <row r="420" spans="1:12" hidden="1">
      <c r="A420" t="s">
        <v>1616</v>
      </c>
      <c r="B420">
        <v>12000679</v>
      </c>
      <c r="C420" s="60">
        <v>45941</v>
      </c>
      <c r="D420" t="s">
        <v>1706</v>
      </c>
      <c r="E420">
        <v>0</v>
      </c>
      <c r="L420" t="str">
        <f t="shared" si="6"/>
        <v>PT9012000679,</v>
      </c>
    </row>
    <row r="421" spans="1:12" hidden="1">
      <c r="A421" t="s">
        <v>1617</v>
      </c>
      <c r="B421">
        <v>508453971</v>
      </c>
      <c r="C421" s="60">
        <v>45941</v>
      </c>
      <c r="D421" t="s">
        <v>1706</v>
      </c>
      <c r="E421">
        <v>4685</v>
      </c>
      <c r="L421" t="str">
        <f t="shared" si="6"/>
        <v>LE7508453971,</v>
      </c>
    </row>
    <row r="422" spans="1:12" hidden="1">
      <c r="A422" t="s">
        <v>1618</v>
      </c>
      <c r="B422">
        <v>12198165</v>
      </c>
      <c r="C422" s="60">
        <v>45941</v>
      </c>
      <c r="D422" t="s">
        <v>1706</v>
      </c>
      <c r="E422">
        <v>729</v>
      </c>
      <c r="L422" t="str">
        <f t="shared" si="6"/>
        <v>LE9012198165,</v>
      </c>
    </row>
    <row r="423" spans="1:12" hidden="1">
      <c r="A423" t="s">
        <v>1619</v>
      </c>
      <c r="B423">
        <v>508463858</v>
      </c>
      <c r="C423" s="60">
        <v>45941</v>
      </c>
      <c r="D423" t="s">
        <v>1706</v>
      </c>
      <c r="E423">
        <v>2230</v>
      </c>
      <c r="L423" t="str">
        <f t="shared" si="6"/>
        <v>LE7508463858,</v>
      </c>
    </row>
    <row r="424" spans="1:12" hidden="1">
      <c r="A424" t="s">
        <v>1620</v>
      </c>
      <c r="B424">
        <v>12157913</v>
      </c>
      <c r="C424" s="60">
        <v>45941</v>
      </c>
      <c r="D424" t="s">
        <v>1706</v>
      </c>
      <c r="E424">
        <v>3596</v>
      </c>
      <c r="L424" t="str">
        <f t="shared" si="6"/>
        <v>LE9012157913,</v>
      </c>
    </row>
    <row r="425" spans="1:12" hidden="1">
      <c r="A425" t="s">
        <v>1621</v>
      </c>
      <c r="B425">
        <v>507289411</v>
      </c>
      <c r="C425" s="60">
        <v>45941</v>
      </c>
      <c r="D425" t="s">
        <v>1706</v>
      </c>
      <c r="E425">
        <v>2640</v>
      </c>
      <c r="L425" t="str">
        <f t="shared" si="6"/>
        <v>RW7507289411,</v>
      </c>
    </row>
    <row r="426" spans="1:12" hidden="1">
      <c r="A426" t="s">
        <v>1622</v>
      </c>
      <c r="B426">
        <v>512090595</v>
      </c>
      <c r="C426" s="60">
        <v>45941</v>
      </c>
      <c r="D426" t="s">
        <v>1706</v>
      </c>
      <c r="E426">
        <v>5000</v>
      </c>
      <c r="L426" t="str">
        <f t="shared" si="6"/>
        <v>FS7512090595,</v>
      </c>
    </row>
    <row r="427" spans="1:12" hidden="1">
      <c r="A427" t="s">
        <v>1623</v>
      </c>
      <c r="B427">
        <v>12011287</v>
      </c>
      <c r="C427" s="60">
        <v>45941</v>
      </c>
      <c r="D427" t="s">
        <v>1706</v>
      </c>
      <c r="E427">
        <v>1650</v>
      </c>
      <c r="L427" t="str">
        <f t="shared" si="6"/>
        <v>VR9012011287,</v>
      </c>
    </row>
    <row r="428" spans="1:12" hidden="1">
      <c r="A428" t="s">
        <v>1624</v>
      </c>
      <c r="B428">
        <v>512074625</v>
      </c>
      <c r="C428" s="60">
        <v>45941</v>
      </c>
      <c r="D428" t="s">
        <v>1706</v>
      </c>
      <c r="E428">
        <v>9999</v>
      </c>
      <c r="L428" t="str">
        <f t="shared" si="6"/>
        <v>FS7512074625,</v>
      </c>
    </row>
    <row r="429" spans="1:12" hidden="1">
      <c r="A429" t="s">
        <v>1625</v>
      </c>
      <c r="B429">
        <v>512084298</v>
      </c>
      <c r="C429" s="60">
        <v>45941</v>
      </c>
      <c r="D429" t="s">
        <v>1706</v>
      </c>
      <c r="E429">
        <v>1728</v>
      </c>
      <c r="L429" t="str">
        <f t="shared" si="6"/>
        <v>FS7512084298,</v>
      </c>
    </row>
    <row r="430" spans="1:12" hidden="1">
      <c r="A430" t="s">
        <v>1626</v>
      </c>
      <c r="B430">
        <v>12182319</v>
      </c>
      <c r="C430" s="60">
        <v>45941</v>
      </c>
      <c r="D430" t="s">
        <v>1706</v>
      </c>
      <c r="E430">
        <v>0</v>
      </c>
      <c r="L430" t="str">
        <f t="shared" si="6"/>
        <v>HD9012182319,</v>
      </c>
    </row>
    <row r="431" spans="1:12" hidden="1">
      <c r="A431" t="s">
        <v>1627</v>
      </c>
      <c r="B431">
        <v>60858964</v>
      </c>
      <c r="C431" s="60">
        <v>45941</v>
      </c>
      <c r="D431" t="s">
        <v>1706</v>
      </c>
      <c r="E431">
        <v>1800</v>
      </c>
      <c r="L431" t="str">
        <f t="shared" si="6"/>
        <v>SF0060858964,</v>
      </c>
    </row>
    <row r="432" spans="1:12" hidden="1">
      <c r="A432" t="s">
        <v>1628</v>
      </c>
      <c r="B432">
        <v>12185238</v>
      </c>
      <c r="C432" s="60">
        <v>45941</v>
      </c>
      <c r="D432" t="s">
        <v>1706</v>
      </c>
      <c r="E432">
        <v>4340</v>
      </c>
      <c r="L432" t="str">
        <f t="shared" si="6"/>
        <v>KI9012185238,</v>
      </c>
    </row>
    <row r="433" spans="1:12" hidden="1">
      <c r="A433" t="s">
        <v>1629</v>
      </c>
      <c r="B433">
        <v>508477081</v>
      </c>
      <c r="C433" s="60">
        <v>45941</v>
      </c>
      <c r="D433" t="s">
        <v>1706</v>
      </c>
      <c r="E433">
        <v>2180</v>
      </c>
      <c r="L433" t="str">
        <f t="shared" si="6"/>
        <v>LE7508477081,</v>
      </c>
    </row>
    <row r="434" spans="1:12" hidden="1">
      <c r="A434" t="s">
        <v>1630</v>
      </c>
      <c r="B434">
        <v>514341644</v>
      </c>
      <c r="C434" s="60">
        <v>45941</v>
      </c>
      <c r="D434" t="s">
        <v>1706</v>
      </c>
      <c r="E434">
        <v>2678.99</v>
      </c>
      <c r="L434" t="str">
        <f t="shared" si="6"/>
        <v>KS7514341644,</v>
      </c>
    </row>
    <row r="435" spans="1:12" hidden="1">
      <c r="A435" t="s">
        <v>1631</v>
      </c>
      <c r="B435">
        <v>12002391</v>
      </c>
      <c r="C435" s="60">
        <v>45941</v>
      </c>
      <c r="D435" t="s">
        <v>1706</v>
      </c>
      <c r="E435">
        <v>1929</v>
      </c>
      <c r="L435" t="str">
        <f t="shared" si="6"/>
        <v>KI9012002391,</v>
      </c>
    </row>
    <row r="436" spans="1:12" hidden="1">
      <c r="A436" t="s">
        <v>1632</v>
      </c>
      <c r="B436">
        <v>11564679</v>
      </c>
      <c r="C436" s="60">
        <v>45941</v>
      </c>
      <c r="D436" t="s">
        <v>1706</v>
      </c>
      <c r="E436">
        <v>991</v>
      </c>
      <c r="L436" t="str">
        <f t="shared" si="6"/>
        <v>ID9011564679,</v>
      </c>
    </row>
    <row r="437" spans="1:12" hidden="1">
      <c r="A437" t="s">
        <v>1633</v>
      </c>
      <c r="B437">
        <v>11563779</v>
      </c>
      <c r="C437" s="60">
        <v>45941</v>
      </c>
      <c r="D437" t="s">
        <v>1706</v>
      </c>
      <c r="E437">
        <v>831</v>
      </c>
      <c r="L437" t="str">
        <f t="shared" si="6"/>
        <v>ID9011563779,</v>
      </c>
    </row>
    <row r="438" spans="1:12" hidden="1">
      <c r="A438" t="s">
        <v>1634</v>
      </c>
      <c r="B438">
        <v>12197644</v>
      </c>
      <c r="C438" s="60">
        <v>45941</v>
      </c>
      <c r="D438" t="s">
        <v>1706</v>
      </c>
      <c r="E438">
        <v>580</v>
      </c>
      <c r="L438" t="str">
        <f t="shared" si="6"/>
        <v>LE9012197644,</v>
      </c>
    </row>
    <row r="439" spans="1:12" hidden="1">
      <c r="A439" t="s">
        <v>1635</v>
      </c>
      <c r="B439">
        <v>11562921</v>
      </c>
      <c r="C439" s="60">
        <v>45941</v>
      </c>
      <c r="D439" t="s">
        <v>1706</v>
      </c>
      <c r="E439">
        <v>801</v>
      </c>
      <c r="L439" t="str">
        <f t="shared" si="6"/>
        <v>ID9011562921,</v>
      </c>
    </row>
    <row r="440" spans="1:12" hidden="1">
      <c r="A440" t="s">
        <v>1636</v>
      </c>
      <c r="B440">
        <v>12181580</v>
      </c>
      <c r="C440" s="60">
        <v>45941</v>
      </c>
      <c r="D440" t="s">
        <v>1706</v>
      </c>
      <c r="E440">
        <v>415</v>
      </c>
      <c r="L440" t="str">
        <f t="shared" si="6"/>
        <v>KI9012181580,</v>
      </c>
    </row>
    <row r="441" spans="1:12" hidden="1">
      <c r="A441" t="s">
        <v>1637</v>
      </c>
      <c r="B441">
        <v>12009150</v>
      </c>
      <c r="C441" s="60">
        <v>45941</v>
      </c>
      <c r="D441" t="s">
        <v>1706</v>
      </c>
      <c r="E441">
        <v>1343</v>
      </c>
      <c r="L441" t="str">
        <f t="shared" si="6"/>
        <v>ID9012009150,</v>
      </c>
    </row>
    <row r="442" spans="1:12" hidden="1">
      <c r="A442" t="s">
        <v>1638</v>
      </c>
      <c r="B442">
        <v>12001005</v>
      </c>
      <c r="C442" s="60">
        <v>45941</v>
      </c>
      <c r="D442" t="s">
        <v>1706</v>
      </c>
      <c r="E442">
        <v>829</v>
      </c>
      <c r="L442" t="str">
        <f t="shared" si="6"/>
        <v>LE9012001005,</v>
      </c>
    </row>
    <row r="443" spans="1:12" hidden="1">
      <c r="A443" t="s">
        <v>1639</v>
      </c>
      <c r="B443">
        <v>512526239</v>
      </c>
      <c r="C443" s="60">
        <v>45941</v>
      </c>
      <c r="D443" t="s">
        <v>1706</v>
      </c>
      <c r="E443">
        <v>1160</v>
      </c>
      <c r="L443" t="str">
        <f t="shared" si="6"/>
        <v>ID7512526239,</v>
      </c>
    </row>
    <row r="444" spans="1:12" hidden="1">
      <c r="A444" t="s">
        <v>1640</v>
      </c>
      <c r="B444">
        <v>11563717</v>
      </c>
      <c r="C444" s="60">
        <v>45941</v>
      </c>
      <c r="D444" t="s">
        <v>1706</v>
      </c>
      <c r="E444">
        <v>791</v>
      </c>
      <c r="L444" t="str">
        <f t="shared" si="6"/>
        <v>ID9011563717,</v>
      </c>
    </row>
    <row r="445" spans="1:12" hidden="1">
      <c r="A445" t="s">
        <v>1641</v>
      </c>
      <c r="B445">
        <v>12184960</v>
      </c>
      <c r="C445" s="60">
        <v>45941</v>
      </c>
      <c r="D445" t="s">
        <v>1706</v>
      </c>
      <c r="E445">
        <v>515</v>
      </c>
      <c r="L445" t="str">
        <f t="shared" si="6"/>
        <v>KI9012184960,</v>
      </c>
    </row>
    <row r="446" spans="1:12" hidden="1">
      <c r="A446" t="s">
        <v>1642</v>
      </c>
      <c r="B446">
        <v>12179282</v>
      </c>
      <c r="C446" s="60">
        <v>45941</v>
      </c>
      <c r="D446" t="s">
        <v>1706</v>
      </c>
      <c r="E446">
        <v>780</v>
      </c>
      <c r="L446" t="str">
        <f t="shared" si="6"/>
        <v>LE9012179282,</v>
      </c>
    </row>
    <row r="447" spans="1:12" hidden="1">
      <c r="A447" t="s">
        <v>1643</v>
      </c>
      <c r="B447">
        <v>514341673</v>
      </c>
      <c r="C447" s="60">
        <v>45941</v>
      </c>
      <c r="D447" t="s">
        <v>1706</v>
      </c>
      <c r="E447">
        <v>3278.99</v>
      </c>
      <c r="L447" t="str">
        <f t="shared" si="6"/>
        <v>KS7514341673,</v>
      </c>
    </row>
    <row r="448" spans="1:12" hidden="1">
      <c r="A448" t="s">
        <v>1644</v>
      </c>
      <c r="B448">
        <v>500697271</v>
      </c>
      <c r="C448" s="60">
        <v>45941</v>
      </c>
      <c r="D448" t="s">
        <v>1706</v>
      </c>
      <c r="E448">
        <v>1000</v>
      </c>
      <c r="L448" t="str">
        <f t="shared" si="6"/>
        <v>KI7500697271,</v>
      </c>
    </row>
    <row r="449" spans="1:12" hidden="1">
      <c r="A449" t="s">
        <v>1645</v>
      </c>
      <c r="B449">
        <v>505088981</v>
      </c>
      <c r="C449" s="60">
        <v>45941</v>
      </c>
      <c r="D449" t="s">
        <v>1706</v>
      </c>
      <c r="E449">
        <v>2000</v>
      </c>
      <c r="L449" t="str">
        <f t="shared" si="6"/>
        <v>MM7505088981,</v>
      </c>
    </row>
    <row r="450" spans="1:12" hidden="1">
      <c r="A450" t="s">
        <v>1646</v>
      </c>
      <c r="B450">
        <v>12013680</v>
      </c>
      <c r="C450" s="60">
        <v>45941</v>
      </c>
      <c r="D450" t="s">
        <v>1706</v>
      </c>
      <c r="E450">
        <v>1884</v>
      </c>
      <c r="L450" t="str">
        <f t="shared" si="6"/>
        <v>ID9012013680,</v>
      </c>
    </row>
    <row r="451" spans="1:12" hidden="1">
      <c r="A451" t="s">
        <v>1647</v>
      </c>
      <c r="B451">
        <v>508447023</v>
      </c>
      <c r="C451" s="60">
        <v>45941</v>
      </c>
      <c r="D451" t="s">
        <v>1706</v>
      </c>
      <c r="E451">
        <v>3118.96</v>
      </c>
      <c r="L451" t="str">
        <f t="shared" ref="L451:L495" si="7">""&amp;A451&amp;","</f>
        <v>LE7508447023,</v>
      </c>
    </row>
    <row r="452" spans="1:12" hidden="1">
      <c r="A452" t="s">
        <v>1648</v>
      </c>
      <c r="B452">
        <v>508668296</v>
      </c>
      <c r="C452" s="60">
        <v>45941</v>
      </c>
      <c r="D452" t="s">
        <v>1706</v>
      </c>
      <c r="E452">
        <v>1689</v>
      </c>
      <c r="L452" t="str">
        <f t="shared" si="7"/>
        <v>KI7508668296,</v>
      </c>
    </row>
    <row r="453" spans="1:12" hidden="1">
      <c r="A453" t="s">
        <v>1649</v>
      </c>
      <c r="B453">
        <v>508646397</v>
      </c>
      <c r="C453" s="60">
        <v>45941</v>
      </c>
      <c r="D453" t="s">
        <v>1706</v>
      </c>
      <c r="E453">
        <v>1444</v>
      </c>
      <c r="L453" t="str">
        <f t="shared" si="7"/>
        <v>KI7508646397,</v>
      </c>
    </row>
    <row r="454" spans="1:12" hidden="1">
      <c r="A454" t="s">
        <v>1650</v>
      </c>
      <c r="B454">
        <v>508666360</v>
      </c>
      <c r="C454" s="60">
        <v>45941</v>
      </c>
      <c r="D454" t="s">
        <v>1706</v>
      </c>
      <c r="E454">
        <v>1150</v>
      </c>
      <c r="L454" t="str">
        <f t="shared" si="7"/>
        <v>KI7508666360,</v>
      </c>
    </row>
    <row r="455" spans="1:12" hidden="1">
      <c r="A455" t="s">
        <v>1651</v>
      </c>
      <c r="B455">
        <v>508679791</v>
      </c>
      <c r="C455" s="60">
        <v>45941</v>
      </c>
      <c r="D455" t="s">
        <v>1706</v>
      </c>
      <c r="E455">
        <v>2750</v>
      </c>
      <c r="L455" t="str">
        <f t="shared" si="7"/>
        <v>KI7508679791,</v>
      </c>
    </row>
    <row r="456" spans="1:12" hidden="1">
      <c r="A456" t="s">
        <v>1652</v>
      </c>
      <c r="B456">
        <v>508656712</v>
      </c>
      <c r="C456" s="60">
        <v>45941</v>
      </c>
      <c r="D456" t="s">
        <v>1706</v>
      </c>
      <c r="E456">
        <v>1900</v>
      </c>
      <c r="L456" t="str">
        <f t="shared" si="7"/>
        <v>KI7508656712,</v>
      </c>
    </row>
    <row r="457" spans="1:12" hidden="1">
      <c r="A457" t="s">
        <v>1653</v>
      </c>
      <c r="B457">
        <v>12198645</v>
      </c>
      <c r="C457" s="60">
        <v>45941</v>
      </c>
      <c r="D457" t="s">
        <v>1706</v>
      </c>
      <c r="E457">
        <v>390</v>
      </c>
      <c r="L457" t="str">
        <f t="shared" si="7"/>
        <v>KI9012198645,</v>
      </c>
    </row>
    <row r="458" spans="1:12" hidden="1">
      <c r="A458" t="s">
        <v>1654</v>
      </c>
      <c r="B458">
        <v>507293066</v>
      </c>
      <c r="C458" s="60">
        <v>45941</v>
      </c>
      <c r="D458" t="s">
        <v>1706</v>
      </c>
      <c r="E458">
        <v>1000</v>
      </c>
      <c r="L458" t="str">
        <f t="shared" si="7"/>
        <v>RW7507293066,</v>
      </c>
    </row>
    <row r="459" spans="1:12" hidden="1">
      <c r="A459" t="s">
        <v>1655</v>
      </c>
      <c r="B459">
        <v>512059994</v>
      </c>
      <c r="C459" s="60">
        <v>45941</v>
      </c>
      <c r="D459" t="s">
        <v>1706</v>
      </c>
      <c r="E459">
        <v>1150</v>
      </c>
      <c r="L459" t="str">
        <f t="shared" si="7"/>
        <v>FS7512059994,</v>
      </c>
    </row>
    <row r="460" spans="1:12" hidden="1">
      <c r="A460" t="s">
        <v>1656</v>
      </c>
      <c r="B460">
        <v>12194894</v>
      </c>
      <c r="C460" s="60">
        <v>45941</v>
      </c>
      <c r="D460" t="s">
        <v>1706</v>
      </c>
      <c r="E460">
        <v>3785</v>
      </c>
      <c r="L460" t="str">
        <f t="shared" si="7"/>
        <v>KI9012194894,</v>
      </c>
    </row>
    <row r="461" spans="1:12" hidden="1">
      <c r="A461" t="s">
        <v>1657</v>
      </c>
      <c r="B461">
        <v>508683145</v>
      </c>
      <c r="C461" s="60">
        <v>45941</v>
      </c>
      <c r="D461" t="s">
        <v>1706</v>
      </c>
      <c r="E461">
        <v>2090</v>
      </c>
      <c r="L461" t="str">
        <f t="shared" si="7"/>
        <v>KI7508683145,</v>
      </c>
    </row>
    <row r="462" spans="1:12" hidden="1">
      <c r="A462" t="s">
        <v>1658</v>
      </c>
      <c r="B462">
        <v>508620024</v>
      </c>
      <c r="C462" s="60">
        <v>45941</v>
      </c>
      <c r="D462" t="s">
        <v>1706</v>
      </c>
      <c r="E462">
        <v>2450</v>
      </c>
      <c r="L462" t="str">
        <f t="shared" si="7"/>
        <v>KI7508620024,</v>
      </c>
    </row>
    <row r="463" spans="1:12" hidden="1">
      <c r="A463" t="s">
        <v>1659</v>
      </c>
      <c r="B463">
        <v>12186466</v>
      </c>
      <c r="C463" s="60">
        <v>45941</v>
      </c>
      <c r="D463" t="s">
        <v>1706</v>
      </c>
      <c r="E463">
        <v>1026</v>
      </c>
      <c r="L463" t="str">
        <f t="shared" si="7"/>
        <v>KI9012186466,</v>
      </c>
    </row>
    <row r="464" spans="1:12" hidden="1">
      <c r="A464" t="s">
        <v>1660</v>
      </c>
      <c r="B464">
        <v>11564629</v>
      </c>
      <c r="C464" s="60">
        <v>45941</v>
      </c>
      <c r="D464" t="s">
        <v>1706</v>
      </c>
      <c r="E464">
        <v>0</v>
      </c>
      <c r="L464" t="str">
        <f t="shared" si="7"/>
        <v>ID9011564629,</v>
      </c>
    </row>
    <row r="465" spans="1:12" hidden="1">
      <c r="A465" t="s">
        <v>1661</v>
      </c>
      <c r="B465">
        <v>508654193</v>
      </c>
      <c r="C465" s="60">
        <v>45941</v>
      </c>
      <c r="D465" t="s">
        <v>1706</v>
      </c>
      <c r="E465">
        <v>661</v>
      </c>
      <c r="L465" t="str">
        <f t="shared" si="7"/>
        <v>KI7508654193,</v>
      </c>
    </row>
    <row r="466" spans="1:12" hidden="1">
      <c r="A466" t="s">
        <v>1662</v>
      </c>
      <c r="B466">
        <v>512065011</v>
      </c>
      <c r="C466" s="60">
        <v>45941</v>
      </c>
      <c r="D466" t="s">
        <v>1706</v>
      </c>
      <c r="E466">
        <v>3020</v>
      </c>
      <c r="L466" t="str">
        <f t="shared" si="7"/>
        <v>FS7512065011,</v>
      </c>
    </row>
    <row r="467" spans="1:12" hidden="1">
      <c r="A467" t="s">
        <v>1663</v>
      </c>
      <c r="B467">
        <v>512052972</v>
      </c>
      <c r="C467" s="60">
        <v>45941</v>
      </c>
      <c r="D467" t="s">
        <v>1706</v>
      </c>
      <c r="E467">
        <v>3050</v>
      </c>
      <c r="L467" t="str">
        <f t="shared" si="7"/>
        <v>FS7512052972,</v>
      </c>
    </row>
    <row r="468" spans="1:12" hidden="1">
      <c r="A468" t="s">
        <v>1664</v>
      </c>
      <c r="B468">
        <v>12194731</v>
      </c>
      <c r="C468" s="60">
        <v>45941</v>
      </c>
      <c r="D468" t="s">
        <v>1706</v>
      </c>
      <c r="E468">
        <v>5504</v>
      </c>
      <c r="L468" t="str">
        <f t="shared" si="7"/>
        <v>KI9012194731,</v>
      </c>
    </row>
    <row r="469" spans="1:12" hidden="1">
      <c r="A469" t="s">
        <v>1665</v>
      </c>
      <c r="B469">
        <v>12186151</v>
      </c>
      <c r="C469" s="60">
        <v>45941</v>
      </c>
      <c r="D469" t="s">
        <v>1706</v>
      </c>
      <c r="E469">
        <v>0</v>
      </c>
      <c r="L469" t="str">
        <f t="shared" si="7"/>
        <v>HD9012186151,</v>
      </c>
    </row>
    <row r="470" spans="1:12" hidden="1">
      <c r="A470" t="s">
        <v>1666</v>
      </c>
      <c r="B470">
        <v>12195057</v>
      </c>
      <c r="C470" s="60">
        <v>45941</v>
      </c>
      <c r="D470" t="s">
        <v>1706</v>
      </c>
      <c r="E470">
        <v>709</v>
      </c>
      <c r="L470" t="str">
        <f t="shared" si="7"/>
        <v>KI9012195057,</v>
      </c>
    </row>
    <row r="471" spans="1:12" hidden="1">
      <c r="A471" t="s">
        <v>1667</v>
      </c>
      <c r="B471">
        <v>12198345</v>
      </c>
      <c r="C471" s="60">
        <v>45941</v>
      </c>
      <c r="D471" t="s">
        <v>1706</v>
      </c>
      <c r="E471">
        <v>1615</v>
      </c>
      <c r="L471" t="str">
        <f t="shared" si="7"/>
        <v>KI9012198345,</v>
      </c>
    </row>
    <row r="472" spans="1:12" hidden="1">
      <c r="A472" t="s">
        <v>1668</v>
      </c>
      <c r="B472">
        <v>12007907</v>
      </c>
      <c r="C472" s="60">
        <v>45941</v>
      </c>
      <c r="D472" t="s">
        <v>1706</v>
      </c>
      <c r="E472">
        <v>1397</v>
      </c>
      <c r="L472" t="str">
        <f t="shared" si="7"/>
        <v>ID9012007907,</v>
      </c>
    </row>
    <row r="473" spans="1:12" hidden="1">
      <c r="A473" t="s">
        <v>1669</v>
      </c>
      <c r="B473">
        <v>12194366</v>
      </c>
      <c r="C473" s="60">
        <v>45941</v>
      </c>
      <c r="D473" t="s">
        <v>1706</v>
      </c>
      <c r="E473">
        <v>454</v>
      </c>
      <c r="L473" t="str">
        <f t="shared" si="7"/>
        <v>KI9012194366,</v>
      </c>
    </row>
    <row r="474" spans="1:12" hidden="1">
      <c r="A474" t="s">
        <v>1670</v>
      </c>
      <c r="B474">
        <v>12193813</v>
      </c>
      <c r="C474" s="60">
        <v>45941</v>
      </c>
      <c r="D474" t="s">
        <v>1706</v>
      </c>
      <c r="E474">
        <v>941</v>
      </c>
      <c r="L474" t="str">
        <f t="shared" si="7"/>
        <v>KI9012193813,</v>
      </c>
    </row>
    <row r="475" spans="1:12" hidden="1">
      <c r="A475" t="s">
        <v>1671</v>
      </c>
      <c r="B475">
        <v>11795888</v>
      </c>
      <c r="C475" s="60">
        <v>45941</v>
      </c>
      <c r="D475" t="s">
        <v>1706</v>
      </c>
      <c r="E475">
        <v>1550</v>
      </c>
      <c r="L475" t="str">
        <f t="shared" si="7"/>
        <v>LY9011795888,</v>
      </c>
    </row>
    <row r="476" spans="1:12" hidden="1">
      <c r="A476" t="s">
        <v>1672</v>
      </c>
      <c r="B476">
        <v>12174100</v>
      </c>
      <c r="C476" s="60">
        <v>45941</v>
      </c>
      <c r="D476" t="s">
        <v>1706</v>
      </c>
      <c r="E476">
        <v>523</v>
      </c>
      <c r="L476" t="str">
        <f t="shared" si="7"/>
        <v>KI9012174100,</v>
      </c>
    </row>
    <row r="477" spans="1:12" hidden="1">
      <c r="A477" t="s">
        <v>1673</v>
      </c>
      <c r="B477">
        <v>512526702</v>
      </c>
      <c r="C477" s="60">
        <v>45941</v>
      </c>
      <c r="D477" t="s">
        <v>1706</v>
      </c>
      <c r="E477">
        <v>999</v>
      </c>
      <c r="L477" t="str">
        <f t="shared" si="7"/>
        <v>ID7512526702,</v>
      </c>
    </row>
    <row r="478" spans="1:12" hidden="1">
      <c r="A478" t="s">
        <v>1674</v>
      </c>
      <c r="B478">
        <v>508723435</v>
      </c>
      <c r="C478" s="60">
        <v>45941</v>
      </c>
      <c r="D478" t="s">
        <v>1706</v>
      </c>
      <c r="E478">
        <v>2288</v>
      </c>
      <c r="L478" t="str">
        <f t="shared" si="7"/>
        <v>KI7508723435,</v>
      </c>
    </row>
    <row r="479" spans="1:12" hidden="1">
      <c r="A479" t="s">
        <v>1675</v>
      </c>
      <c r="B479">
        <v>512074389</v>
      </c>
      <c r="C479" s="60">
        <v>45941</v>
      </c>
      <c r="D479" t="s">
        <v>1706</v>
      </c>
      <c r="E479">
        <v>0</v>
      </c>
      <c r="L479" t="str">
        <f t="shared" si="7"/>
        <v>FS7512074389,</v>
      </c>
    </row>
    <row r="480" spans="1:12" hidden="1">
      <c r="A480" t="s">
        <v>1676</v>
      </c>
      <c r="B480">
        <v>512079391</v>
      </c>
      <c r="C480" s="60">
        <v>45941</v>
      </c>
      <c r="D480" t="s">
        <v>1706</v>
      </c>
      <c r="E480">
        <v>7650</v>
      </c>
      <c r="L480" t="str">
        <f t="shared" si="7"/>
        <v>FS7512079391,</v>
      </c>
    </row>
    <row r="481" spans="1:12" hidden="1">
      <c r="A481" t="s">
        <v>1677</v>
      </c>
      <c r="B481">
        <v>12198640</v>
      </c>
      <c r="C481" s="60">
        <v>45941</v>
      </c>
      <c r="D481" t="s">
        <v>1706</v>
      </c>
      <c r="E481">
        <v>308</v>
      </c>
      <c r="L481" t="str">
        <f t="shared" si="7"/>
        <v>KI9012198640,</v>
      </c>
    </row>
    <row r="482" spans="1:12" hidden="1">
      <c r="A482" t="s">
        <v>1678</v>
      </c>
      <c r="B482">
        <v>508680197</v>
      </c>
      <c r="C482" s="60">
        <v>45941</v>
      </c>
      <c r="D482" t="s">
        <v>1706</v>
      </c>
      <c r="E482">
        <v>1187</v>
      </c>
      <c r="L482" t="str">
        <f t="shared" si="7"/>
        <v>KI7508680197,</v>
      </c>
    </row>
    <row r="483" spans="1:12" hidden="1">
      <c r="A483" t="s">
        <v>1679</v>
      </c>
      <c r="B483">
        <v>12180024</v>
      </c>
      <c r="C483" s="60">
        <v>45941</v>
      </c>
      <c r="D483" t="s">
        <v>1706</v>
      </c>
      <c r="E483">
        <v>1570</v>
      </c>
      <c r="L483" t="str">
        <f t="shared" si="7"/>
        <v>KI9012180024,</v>
      </c>
    </row>
    <row r="484" spans="1:12" hidden="1">
      <c r="A484" t="s">
        <v>1680</v>
      </c>
      <c r="B484">
        <v>512069417</v>
      </c>
      <c r="C484" s="60">
        <v>45941</v>
      </c>
      <c r="D484" t="s">
        <v>1706</v>
      </c>
      <c r="E484">
        <v>2065</v>
      </c>
      <c r="L484" t="str">
        <f t="shared" si="7"/>
        <v>FS7512069417,</v>
      </c>
    </row>
    <row r="485" spans="1:12" hidden="1">
      <c r="A485" t="s">
        <v>1681</v>
      </c>
      <c r="B485">
        <v>508655904</v>
      </c>
      <c r="C485" s="60">
        <v>45941</v>
      </c>
      <c r="D485" t="s">
        <v>1706</v>
      </c>
      <c r="E485">
        <v>917</v>
      </c>
      <c r="L485" t="str">
        <f t="shared" si="7"/>
        <v>KI7508655904,</v>
      </c>
    </row>
    <row r="486" spans="1:12" hidden="1">
      <c r="A486" t="s">
        <v>1682</v>
      </c>
      <c r="B486">
        <v>505088141</v>
      </c>
      <c r="C486" s="60">
        <v>45941</v>
      </c>
      <c r="D486" t="s">
        <v>1706</v>
      </c>
      <c r="E486">
        <v>5500</v>
      </c>
      <c r="L486" t="str">
        <f t="shared" si="7"/>
        <v>MM7505088141,</v>
      </c>
    </row>
    <row r="487" spans="1:12" hidden="1">
      <c r="A487" t="s">
        <v>1683</v>
      </c>
      <c r="B487">
        <v>508455619</v>
      </c>
      <c r="C487" s="60">
        <v>45941</v>
      </c>
      <c r="D487" t="s">
        <v>1706</v>
      </c>
      <c r="E487">
        <v>1990</v>
      </c>
      <c r="L487" t="str">
        <f t="shared" si="7"/>
        <v>LE7508455619,</v>
      </c>
    </row>
    <row r="488" spans="1:12" hidden="1">
      <c r="A488" t="s">
        <v>1684</v>
      </c>
      <c r="B488">
        <v>12171576</v>
      </c>
      <c r="C488" s="60">
        <v>45941</v>
      </c>
      <c r="D488" t="s">
        <v>1706</v>
      </c>
      <c r="E488">
        <v>2970</v>
      </c>
      <c r="L488" t="str">
        <f t="shared" si="7"/>
        <v>KI9012171576,</v>
      </c>
    </row>
    <row r="489" spans="1:12" hidden="1">
      <c r="A489" t="s">
        <v>1685</v>
      </c>
      <c r="B489">
        <v>508679967</v>
      </c>
      <c r="C489" s="60">
        <v>45941</v>
      </c>
      <c r="D489" t="s">
        <v>1706</v>
      </c>
      <c r="E489">
        <v>2300</v>
      </c>
      <c r="L489" t="str">
        <f t="shared" si="7"/>
        <v>KI7508679967,</v>
      </c>
    </row>
    <row r="490" spans="1:12" hidden="1">
      <c r="A490" t="s">
        <v>1686</v>
      </c>
      <c r="B490">
        <v>12005941</v>
      </c>
      <c r="C490" s="60">
        <v>45941</v>
      </c>
      <c r="D490" t="s">
        <v>1706</v>
      </c>
      <c r="E490">
        <v>2665</v>
      </c>
      <c r="L490" t="str">
        <f t="shared" si="7"/>
        <v>FS9012005941,</v>
      </c>
    </row>
    <row r="491" spans="1:12" hidden="1">
      <c r="A491" t="s">
        <v>1687</v>
      </c>
      <c r="B491">
        <v>503725417</v>
      </c>
      <c r="C491" s="60">
        <v>45941</v>
      </c>
      <c r="D491" t="s">
        <v>1706</v>
      </c>
      <c r="E491">
        <v>2500</v>
      </c>
      <c r="L491" t="str">
        <f t="shared" si="7"/>
        <v>JG7503725417,</v>
      </c>
    </row>
    <row r="492" spans="1:12" hidden="1">
      <c r="A492" t="s">
        <v>1688</v>
      </c>
      <c r="B492">
        <v>508678945</v>
      </c>
      <c r="C492" s="60">
        <v>45941</v>
      </c>
      <c r="D492" t="s">
        <v>1706</v>
      </c>
      <c r="E492">
        <v>2892</v>
      </c>
      <c r="L492" t="str">
        <f t="shared" si="7"/>
        <v>KI7508678945,</v>
      </c>
    </row>
    <row r="493" spans="1:12" hidden="1">
      <c r="A493" t="s">
        <v>1689</v>
      </c>
      <c r="B493">
        <v>512083571</v>
      </c>
      <c r="C493" s="60">
        <v>45941</v>
      </c>
      <c r="D493" t="s">
        <v>1706</v>
      </c>
      <c r="E493">
        <v>3150</v>
      </c>
      <c r="L493" t="str">
        <f t="shared" si="7"/>
        <v>FS7512083571,</v>
      </c>
    </row>
    <row r="494" spans="1:12" hidden="1">
      <c r="A494" t="s">
        <v>1690</v>
      </c>
      <c r="B494">
        <v>12185951</v>
      </c>
      <c r="C494" s="60">
        <v>45941</v>
      </c>
      <c r="D494" t="s">
        <v>1706</v>
      </c>
      <c r="E494">
        <v>439</v>
      </c>
      <c r="L494" t="str">
        <f t="shared" si="7"/>
        <v>KI9012185951,</v>
      </c>
    </row>
    <row r="495" spans="1:12" hidden="1">
      <c r="A495" t="s">
        <v>1691</v>
      </c>
      <c r="B495">
        <v>508704311</v>
      </c>
      <c r="C495" s="60">
        <v>45941</v>
      </c>
      <c r="D495" t="s">
        <v>1706</v>
      </c>
      <c r="E495">
        <v>13000</v>
      </c>
      <c r="L495" t="str">
        <f t="shared" si="7"/>
        <v>KI7508704311,</v>
      </c>
    </row>
    <row r="496" spans="1:12" hidden="1">
      <c r="A496" t="s">
        <v>1692</v>
      </c>
      <c r="B496">
        <v>503297718</v>
      </c>
      <c r="C496" s="60">
        <v>45941</v>
      </c>
      <c r="D496" t="s">
        <v>1706</v>
      </c>
      <c r="E496">
        <v>2380</v>
      </c>
    </row>
    <row r="497" spans="1:5" hidden="1">
      <c r="A497" t="s">
        <v>1693</v>
      </c>
      <c r="B497">
        <v>508709326</v>
      </c>
      <c r="C497" s="60">
        <v>45941</v>
      </c>
      <c r="D497" t="s">
        <v>1706</v>
      </c>
      <c r="E497">
        <v>5631</v>
      </c>
    </row>
    <row r="498" spans="1:5" hidden="1">
      <c r="A498" t="s">
        <v>1694</v>
      </c>
      <c r="B498">
        <v>12185523</v>
      </c>
      <c r="C498" s="60">
        <v>45941</v>
      </c>
      <c r="D498" t="s">
        <v>1706</v>
      </c>
      <c r="E498">
        <v>750</v>
      </c>
    </row>
    <row r="499" spans="1:5" hidden="1">
      <c r="A499" t="s">
        <v>1695</v>
      </c>
      <c r="B499">
        <v>512525244</v>
      </c>
      <c r="C499" s="60">
        <v>45941</v>
      </c>
      <c r="D499" t="s">
        <v>1706</v>
      </c>
      <c r="E499">
        <v>0</v>
      </c>
    </row>
    <row r="500" spans="1:5" hidden="1">
      <c r="A500" t="s">
        <v>1696</v>
      </c>
      <c r="B500">
        <v>508475122</v>
      </c>
      <c r="C500" s="60">
        <v>45941</v>
      </c>
      <c r="D500" t="s">
        <v>1706</v>
      </c>
      <c r="E500">
        <v>2200</v>
      </c>
    </row>
    <row r="501" spans="1:5" hidden="1">
      <c r="A501" t="s">
        <v>1697</v>
      </c>
      <c r="B501">
        <v>12189695</v>
      </c>
      <c r="C501" s="60">
        <v>45941</v>
      </c>
      <c r="D501" t="s">
        <v>1706</v>
      </c>
      <c r="E501">
        <v>0</v>
      </c>
    </row>
    <row r="502" spans="1:5" hidden="1">
      <c r="A502" t="s">
        <v>1698</v>
      </c>
      <c r="B502">
        <v>60921543</v>
      </c>
      <c r="C502" s="60">
        <v>45941</v>
      </c>
      <c r="D502" t="s">
        <v>1706</v>
      </c>
      <c r="E502">
        <v>2990</v>
      </c>
    </row>
    <row r="503" spans="1:5" hidden="1">
      <c r="A503" t="s">
        <v>1699</v>
      </c>
      <c r="B503">
        <v>12183977</v>
      </c>
      <c r="C503" s="60">
        <v>45941</v>
      </c>
      <c r="D503" t="s">
        <v>1706</v>
      </c>
      <c r="E503">
        <v>2078</v>
      </c>
    </row>
    <row r="504" spans="1:5" hidden="1">
      <c r="A504" t="s">
        <v>1700</v>
      </c>
      <c r="B504">
        <v>12004319</v>
      </c>
      <c r="C504" s="60">
        <v>45941</v>
      </c>
      <c r="D504" t="s">
        <v>1706</v>
      </c>
      <c r="E504">
        <v>1422</v>
      </c>
    </row>
    <row r="505" spans="1:5" hidden="1">
      <c r="A505" t="s">
        <v>1701</v>
      </c>
      <c r="B505">
        <v>514361215</v>
      </c>
      <c r="C505" s="60">
        <v>45941</v>
      </c>
      <c r="D505" t="s">
        <v>1706</v>
      </c>
      <c r="E505">
        <v>0</v>
      </c>
    </row>
    <row r="506" spans="1:5" hidden="1">
      <c r="A506" t="s">
        <v>1702</v>
      </c>
      <c r="B506">
        <v>12009712</v>
      </c>
      <c r="C506" s="60">
        <v>45941</v>
      </c>
      <c r="D506" t="s">
        <v>1706</v>
      </c>
      <c r="E506">
        <v>1899</v>
      </c>
    </row>
    <row r="507" spans="1:5" hidden="1">
      <c r="A507" t="s">
        <v>1703</v>
      </c>
      <c r="B507">
        <v>11800101</v>
      </c>
      <c r="C507" s="60">
        <v>45941</v>
      </c>
      <c r="D507" t="s">
        <v>1706</v>
      </c>
      <c r="E507">
        <v>1049</v>
      </c>
    </row>
    <row r="508" spans="1:5" hidden="1">
      <c r="A508" t="s">
        <v>1704</v>
      </c>
      <c r="B508">
        <v>12182111</v>
      </c>
      <c r="C508" s="60">
        <v>45941</v>
      </c>
      <c r="D508" t="s">
        <v>1706</v>
      </c>
      <c r="E508">
        <v>0</v>
      </c>
    </row>
    <row r="509" spans="1:5" hidden="1">
      <c r="A509" t="s">
        <v>1705</v>
      </c>
      <c r="B509">
        <v>508656767</v>
      </c>
      <c r="C509" s="60">
        <v>45941</v>
      </c>
      <c r="D509" t="s">
        <v>1706</v>
      </c>
      <c r="E509">
        <v>3481.55</v>
      </c>
    </row>
    <row r="510" spans="1:5" hidden="1">
      <c r="A510" t="s">
        <v>1863</v>
      </c>
      <c r="B510">
        <v>11560532</v>
      </c>
      <c r="C510" s="60">
        <v>45943</v>
      </c>
      <c r="D510" t="s">
        <v>1902</v>
      </c>
      <c r="E510">
        <v>663</v>
      </c>
    </row>
    <row r="511" spans="1:5" hidden="1">
      <c r="A511" t="s">
        <v>1840</v>
      </c>
      <c r="B511">
        <v>12000041</v>
      </c>
      <c r="C511" s="60">
        <v>45943</v>
      </c>
      <c r="D511" t="s">
        <v>1902</v>
      </c>
      <c r="E511">
        <v>729</v>
      </c>
    </row>
    <row r="512" spans="1:5" hidden="1">
      <c r="A512" t="s">
        <v>1845</v>
      </c>
      <c r="B512">
        <v>12000773</v>
      </c>
      <c r="C512" s="60">
        <v>45943</v>
      </c>
      <c r="D512" t="s">
        <v>1902</v>
      </c>
      <c r="E512">
        <v>1425</v>
      </c>
    </row>
    <row r="513" spans="1:5" hidden="1">
      <c r="A513" t="s">
        <v>1889</v>
      </c>
      <c r="B513">
        <v>12001175</v>
      </c>
      <c r="C513" s="60">
        <v>45943</v>
      </c>
      <c r="D513" t="s">
        <v>1902</v>
      </c>
      <c r="E513">
        <v>675</v>
      </c>
    </row>
    <row r="514" spans="1:5" hidden="1">
      <c r="A514" t="s">
        <v>1811</v>
      </c>
      <c r="B514">
        <v>12001430</v>
      </c>
      <c r="C514" s="60">
        <v>45943</v>
      </c>
      <c r="D514" t="s">
        <v>1902</v>
      </c>
      <c r="E514">
        <v>565</v>
      </c>
    </row>
    <row r="515" spans="1:5" hidden="1">
      <c r="A515" t="s">
        <v>1821</v>
      </c>
      <c r="B515">
        <v>12001568</v>
      </c>
      <c r="C515" s="60">
        <v>45943</v>
      </c>
      <c r="D515" t="s">
        <v>1902</v>
      </c>
      <c r="E515">
        <v>1625</v>
      </c>
    </row>
    <row r="516" spans="1:5" hidden="1">
      <c r="A516" t="s">
        <v>1831</v>
      </c>
      <c r="B516">
        <v>12001854</v>
      </c>
      <c r="C516" s="60">
        <v>45943</v>
      </c>
      <c r="D516" t="s">
        <v>1902</v>
      </c>
      <c r="E516">
        <v>505</v>
      </c>
    </row>
    <row r="517" spans="1:5" hidden="1">
      <c r="A517" t="s">
        <v>1900</v>
      </c>
      <c r="B517">
        <v>12002245</v>
      </c>
      <c r="C517" s="60">
        <v>45943</v>
      </c>
      <c r="D517" t="s">
        <v>1902</v>
      </c>
      <c r="E517">
        <v>408</v>
      </c>
    </row>
    <row r="518" spans="1:5" hidden="1">
      <c r="A518" t="s">
        <v>1816</v>
      </c>
      <c r="B518">
        <v>12002279</v>
      </c>
      <c r="C518" s="60">
        <v>45943</v>
      </c>
      <c r="D518" t="s">
        <v>1902</v>
      </c>
      <c r="E518">
        <v>429</v>
      </c>
    </row>
    <row r="519" spans="1:5" hidden="1">
      <c r="A519" t="s">
        <v>1837</v>
      </c>
      <c r="B519">
        <v>12002760</v>
      </c>
      <c r="C519" s="60">
        <v>45943</v>
      </c>
      <c r="D519" t="s">
        <v>1902</v>
      </c>
      <c r="E519">
        <v>827</v>
      </c>
    </row>
    <row r="520" spans="1:5" hidden="1">
      <c r="A520" t="s">
        <v>1817</v>
      </c>
      <c r="B520">
        <v>12002964</v>
      </c>
      <c r="C520" s="60">
        <v>45943</v>
      </c>
      <c r="D520" t="s">
        <v>1902</v>
      </c>
      <c r="E520">
        <v>1629</v>
      </c>
    </row>
    <row r="521" spans="1:5" hidden="1">
      <c r="A521" t="s">
        <v>1812</v>
      </c>
      <c r="B521">
        <v>12003365</v>
      </c>
      <c r="C521" s="60">
        <v>45943</v>
      </c>
      <c r="D521" t="s">
        <v>1902</v>
      </c>
      <c r="E521">
        <v>550</v>
      </c>
    </row>
    <row r="522" spans="1:5" hidden="1">
      <c r="A522" t="s">
        <v>1819</v>
      </c>
      <c r="B522">
        <v>12003640</v>
      </c>
      <c r="C522" s="60">
        <v>45943</v>
      </c>
      <c r="D522" t="s">
        <v>1902</v>
      </c>
      <c r="E522">
        <v>3280</v>
      </c>
    </row>
    <row r="523" spans="1:5" hidden="1">
      <c r="A523" t="s">
        <v>1899</v>
      </c>
      <c r="B523">
        <v>12003870</v>
      </c>
      <c r="C523" s="60">
        <v>45943</v>
      </c>
      <c r="D523" t="s">
        <v>1902</v>
      </c>
      <c r="E523">
        <v>897</v>
      </c>
    </row>
    <row r="524" spans="1:5" hidden="1">
      <c r="A524" t="s">
        <v>1815</v>
      </c>
      <c r="B524">
        <v>12004076</v>
      </c>
      <c r="C524" s="60">
        <v>45943</v>
      </c>
      <c r="D524" t="s">
        <v>1902</v>
      </c>
      <c r="E524">
        <v>849</v>
      </c>
    </row>
    <row r="525" spans="1:5" hidden="1">
      <c r="A525" t="s">
        <v>1813</v>
      </c>
      <c r="B525">
        <v>12004108</v>
      </c>
      <c r="C525" s="60">
        <v>45943</v>
      </c>
      <c r="D525" t="s">
        <v>1902</v>
      </c>
      <c r="E525">
        <v>1239</v>
      </c>
    </row>
    <row r="526" spans="1:5" hidden="1">
      <c r="A526" t="s">
        <v>1875</v>
      </c>
      <c r="B526">
        <v>12004323</v>
      </c>
      <c r="C526" s="60">
        <v>45943</v>
      </c>
      <c r="D526" t="s">
        <v>1902</v>
      </c>
      <c r="E526">
        <v>250</v>
      </c>
    </row>
    <row r="527" spans="1:5" hidden="1">
      <c r="A527" t="s">
        <v>1883</v>
      </c>
      <c r="B527">
        <v>12004475</v>
      </c>
      <c r="C527" s="60">
        <v>45943</v>
      </c>
      <c r="D527" t="s">
        <v>1902</v>
      </c>
      <c r="E527">
        <v>845</v>
      </c>
    </row>
    <row r="528" spans="1:5" hidden="1">
      <c r="A528" t="s">
        <v>1853</v>
      </c>
      <c r="B528">
        <v>12004476</v>
      </c>
      <c r="C528" s="60">
        <v>45943</v>
      </c>
      <c r="D528" t="s">
        <v>1902</v>
      </c>
      <c r="E528">
        <v>845</v>
      </c>
    </row>
    <row r="529" spans="1:5" hidden="1">
      <c r="A529" t="s">
        <v>1823</v>
      </c>
      <c r="B529">
        <v>12004815</v>
      </c>
      <c r="C529" s="60">
        <v>45943</v>
      </c>
      <c r="D529" t="s">
        <v>1902</v>
      </c>
      <c r="E529">
        <v>1740</v>
      </c>
    </row>
    <row r="530" spans="1:5" hidden="1">
      <c r="A530" t="s">
        <v>1842</v>
      </c>
      <c r="B530">
        <v>12005074</v>
      </c>
      <c r="C530" s="60">
        <v>45943</v>
      </c>
      <c r="D530" t="s">
        <v>1902</v>
      </c>
      <c r="E530">
        <v>530</v>
      </c>
    </row>
    <row r="531" spans="1:5" hidden="1">
      <c r="A531" t="s">
        <v>1814</v>
      </c>
      <c r="B531">
        <v>12005852</v>
      </c>
      <c r="C531" s="60">
        <v>45943</v>
      </c>
      <c r="D531" t="s">
        <v>1902</v>
      </c>
      <c r="E531">
        <v>620</v>
      </c>
    </row>
    <row r="532" spans="1:5" hidden="1">
      <c r="A532" t="s">
        <v>1877</v>
      </c>
      <c r="B532">
        <v>12008265</v>
      </c>
      <c r="C532" s="60">
        <v>45943</v>
      </c>
      <c r="D532" t="s">
        <v>1902</v>
      </c>
      <c r="E532">
        <v>4628</v>
      </c>
    </row>
    <row r="533" spans="1:5" hidden="1">
      <c r="A533" t="s">
        <v>1867</v>
      </c>
      <c r="B533">
        <v>12008550</v>
      </c>
      <c r="C533" s="60">
        <v>45943</v>
      </c>
      <c r="D533" t="s">
        <v>1902</v>
      </c>
      <c r="E533">
        <v>0</v>
      </c>
    </row>
    <row r="534" spans="1:5" hidden="1">
      <c r="A534" t="s">
        <v>1833</v>
      </c>
      <c r="B534">
        <v>12008728</v>
      </c>
      <c r="C534" s="60">
        <v>45943</v>
      </c>
      <c r="D534" t="s">
        <v>1902</v>
      </c>
      <c r="E534">
        <v>4230</v>
      </c>
    </row>
    <row r="535" spans="1:5" hidden="1">
      <c r="A535" t="s">
        <v>1865</v>
      </c>
      <c r="B535">
        <v>12013271</v>
      </c>
      <c r="C535" s="60">
        <v>45943</v>
      </c>
      <c r="D535" t="s">
        <v>1902</v>
      </c>
      <c r="E535">
        <v>796</v>
      </c>
    </row>
    <row r="536" spans="1:5" hidden="1">
      <c r="A536" t="s">
        <v>1881</v>
      </c>
      <c r="B536">
        <v>12013384</v>
      </c>
      <c r="C536" s="60">
        <v>45943</v>
      </c>
      <c r="D536" t="s">
        <v>1902</v>
      </c>
      <c r="E536">
        <v>799</v>
      </c>
    </row>
    <row r="537" spans="1:5" hidden="1">
      <c r="A537" t="s">
        <v>1861</v>
      </c>
      <c r="B537">
        <v>12013385</v>
      </c>
      <c r="C537" s="60">
        <v>45943</v>
      </c>
      <c r="D537" t="s">
        <v>1902</v>
      </c>
      <c r="E537">
        <v>799</v>
      </c>
    </row>
    <row r="538" spans="1:5" hidden="1">
      <c r="A538" t="s">
        <v>1891</v>
      </c>
      <c r="B538">
        <v>12017034</v>
      </c>
      <c r="C538" s="60">
        <v>45943</v>
      </c>
      <c r="D538" t="s">
        <v>1902</v>
      </c>
      <c r="E538">
        <v>1630</v>
      </c>
    </row>
    <row r="539" spans="1:5" hidden="1">
      <c r="A539" t="s">
        <v>1876</v>
      </c>
      <c r="B539">
        <v>12174873</v>
      </c>
      <c r="C539" s="60">
        <v>45943</v>
      </c>
      <c r="D539" t="s">
        <v>1902</v>
      </c>
      <c r="E539">
        <v>629</v>
      </c>
    </row>
    <row r="540" spans="1:5" hidden="1">
      <c r="A540" t="s">
        <v>1866</v>
      </c>
      <c r="B540">
        <v>12176108</v>
      </c>
      <c r="C540" s="60">
        <v>45943</v>
      </c>
      <c r="D540" t="s">
        <v>1902</v>
      </c>
      <c r="E540">
        <v>998</v>
      </c>
    </row>
    <row r="541" spans="1:5" hidden="1">
      <c r="A541" t="s">
        <v>1844</v>
      </c>
      <c r="B541">
        <v>12178146</v>
      </c>
      <c r="C541" s="60">
        <v>45943</v>
      </c>
      <c r="D541" t="s">
        <v>1902</v>
      </c>
      <c r="E541">
        <v>938</v>
      </c>
    </row>
    <row r="542" spans="1:5" hidden="1">
      <c r="A542" t="s">
        <v>1820</v>
      </c>
      <c r="B542">
        <v>12179049</v>
      </c>
      <c r="C542" s="60">
        <v>45943</v>
      </c>
      <c r="D542" t="s">
        <v>1902</v>
      </c>
      <c r="E542">
        <v>529</v>
      </c>
    </row>
    <row r="543" spans="1:5" hidden="1">
      <c r="A543" t="s">
        <v>1886</v>
      </c>
      <c r="B543">
        <v>12179523</v>
      </c>
      <c r="C543" s="60">
        <v>45943</v>
      </c>
      <c r="D543" t="s">
        <v>1902</v>
      </c>
      <c r="E543">
        <v>1379</v>
      </c>
    </row>
    <row r="544" spans="1:5" hidden="1">
      <c r="A544" t="s">
        <v>1869</v>
      </c>
      <c r="B544">
        <v>12180118</v>
      </c>
      <c r="C544" s="60">
        <v>45943</v>
      </c>
      <c r="D544" t="s">
        <v>1902</v>
      </c>
      <c r="E544">
        <v>898</v>
      </c>
    </row>
    <row r="545" spans="1:5" hidden="1">
      <c r="A545" t="s">
        <v>1841</v>
      </c>
      <c r="B545">
        <v>12188902</v>
      </c>
      <c r="C545" s="60">
        <v>45943</v>
      </c>
      <c r="D545" t="s">
        <v>1902</v>
      </c>
      <c r="E545">
        <v>1379</v>
      </c>
    </row>
    <row r="546" spans="1:5" hidden="1">
      <c r="A546" t="s">
        <v>1836</v>
      </c>
      <c r="B546">
        <v>12189191</v>
      </c>
      <c r="C546" s="60">
        <v>45943</v>
      </c>
      <c r="D546" t="s">
        <v>1902</v>
      </c>
      <c r="E546">
        <v>0</v>
      </c>
    </row>
    <row r="547" spans="1:5" hidden="1">
      <c r="A547" t="s">
        <v>1855</v>
      </c>
      <c r="B547">
        <v>12189907</v>
      </c>
      <c r="C547" s="60">
        <v>45943</v>
      </c>
      <c r="D547" t="s">
        <v>1902</v>
      </c>
      <c r="E547">
        <v>484</v>
      </c>
    </row>
    <row r="548" spans="1:5" hidden="1">
      <c r="A548" t="s">
        <v>1890</v>
      </c>
      <c r="B548">
        <v>12192218</v>
      </c>
      <c r="C548" s="60">
        <v>45943</v>
      </c>
      <c r="D548" t="s">
        <v>1902</v>
      </c>
      <c r="E548">
        <v>462</v>
      </c>
    </row>
    <row r="549" spans="1:5" hidden="1">
      <c r="A549" t="s">
        <v>1872</v>
      </c>
      <c r="B549">
        <v>12192838</v>
      </c>
      <c r="C549" s="60">
        <v>45943</v>
      </c>
      <c r="D549" t="s">
        <v>1902</v>
      </c>
      <c r="E549">
        <v>402</v>
      </c>
    </row>
    <row r="550" spans="1:5" hidden="1">
      <c r="A550" t="s">
        <v>1850</v>
      </c>
      <c r="B550">
        <v>12193063</v>
      </c>
      <c r="C550" s="60">
        <v>45943</v>
      </c>
      <c r="D550" t="s">
        <v>1902</v>
      </c>
      <c r="E550">
        <v>1768</v>
      </c>
    </row>
    <row r="551" spans="1:5" hidden="1">
      <c r="A551" t="s">
        <v>1827</v>
      </c>
      <c r="B551">
        <v>12193578</v>
      </c>
      <c r="C551" s="60">
        <v>45943</v>
      </c>
      <c r="D551" t="s">
        <v>1902</v>
      </c>
      <c r="E551">
        <v>554</v>
      </c>
    </row>
    <row r="552" spans="1:5" hidden="1">
      <c r="A552" t="s">
        <v>1887</v>
      </c>
      <c r="B552">
        <v>12194420</v>
      </c>
      <c r="C552" s="60">
        <v>45943</v>
      </c>
      <c r="D552" t="s">
        <v>1902</v>
      </c>
      <c r="E552">
        <v>779</v>
      </c>
    </row>
    <row r="553" spans="1:5" hidden="1">
      <c r="A553" t="s">
        <v>1892</v>
      </c>
      <c r="B553">
        <v>12194460</v>
      </c>
      <c r="C553" s="60">
        <v>45943</v>
      </c>
      <c r="D553" t="s">
        <v>1902</v>
      </c>
      <c r="E553">
        <v>1430</v>
      </c>
    </row>
    <row r="554" spans="1:5" hidden="1">
      <c r="A554" t="s">
        <v>1824</v>
      </c>
      <c r="B554">
        <v>12197332</v>
      </c>
      <c r="C554" s="60">
        <v>45943</v>
      </c>
      <c r="D554" t="s">
        <v>1902</v>
      </c>
      <c r="E554">
        <v>530</v>
      </c>
    </row>
    <row r="555" spans="1:5" hidden="1">
      <c r="A555" t="s">
        <v>1882</v>
      </c>
      <c r="B555">
        <v>12197459</v>
      </c>
      <c r="C555" s="60">
        <v>45943</v>
      </c>
      <c r="D555" t="s">
        <v>1902</v>
      </c>
      <c r="E555">
        <v>453</v>
      </c>
    </row>
    <row r="556" spans="1:5" hidden="1">
      <c r="A556" t="s">
        <v>1822</v>
      </c>
      <c r="B556">
        <v>12198006</v>
      </c>
      <c r="C556" s="60">
        <v>45943</v>
      </c>
      <c r="D556" t="s">
        <v>1902</v>
      </c>
      <c r="E556">
        <v>629</v>
      </c>
    </row>
    <row r="557" spans="1:5" hidden="1">
      <c r="A557" t="s">
        <v>1868</v>
      </c>
      <c r="B557">
        <v>12198652</v>
      </c>
      <c r="C557" s="60">
        <v>45943</v>
      </c>
      <c r="D557" t="s">
        <v>1902</v>
      </c>
      <c r="E557">
        <v>2955</v>
      </c>
    </row>
    <row r="558" spans="1:5" hidden="1">
      <c r="A558" t="s">
        <v>1843</v>
      </c>
      <c r="B558">
        <v>12198806</v>
      </c>
      <c r="C558" s="60">
        <v>45943</v>
      </c>
      <c r="D558" t="s">
        <v>1902</v>
      </c>
      <c r="E558">
        <v>2308</v>
      </c>
    </row>
    <row r="559" spans="1:5" hidden="1">
      <c r="A559" t="s">
        <v>1825</v>
      </c>
      <c r="B559">
        <v>12199036</v>
      </c>
      <c r="C559" s="60">
        <v>45943</v>
      </c>
      <c r="D559" t="s">
        <v>1902</v>
      </c>
      <c r="E559">
        <v>689</v>
      </c>
    </row>
    <row r="560" spans="1:5" hidden="1">
      <c r="A560" t="s">
        <v>1839</v>
      </c>
      <c r="B560">
        <v>12199118</v>
      </c>
      <c r="C560" s="60">
        <v>45943</v>
      </c>
      <c r="D560" t="s">
        <v>1902</v>
      </c>
      <c r="E560">
        <v>1229</v>
      </c>
    </row>
    <row r="561" spans="1:5" hidden="1">
      <c r="A561" t="s">
        <v>1830</v>
      </c>
      <c r="B561">
        <v>12199236</v>
      </c>
      <c r="C561" s="60">
        <v>45943</v>
      </c>
      <c r="D561" t="s">
        <v>1902</v>
      </c>
      <c r="E561">
        <v>576</v>
      </c>
    </row>
    <row r="562" spans="1:5" hidden="1">
      <c r="A562" t="s">
        <v>1873</v>
      </c>
      <c r="B562">
        <v>12199280</v>
      </c>
      <c r="C562" s="60">
        <v>45943</v>
      </c>
      <c r="D562" t="s">
        <v>1902</v>
      </c>
      <c r="E562">
        <v>849</v>
      </c>
    </row>
    <row r="563" spans="1:5" hidden="1">
      <c r="A563" t="s">
        <v>1828</v>
      </c>
      <c r="B563">
        <v>12199979</v>
      </c>
      <c r="C563" s="60">
        <v>45943</v>
      </c>
      <c r="D563" t="s">
        <v>1902</v>
      </c>
      <c r="E563">
        <v>1229</v>
      </c>
    </row>
    <row r="564" spans="1:5" hidden="1">
      <c r="A564" t="s">
        <v>1829</v>
      </c>
      <c r="B564">
        <v>500301506</v>
      </c>
      <c r="C564" s="60">
        <v>45943</v>
      </c>
      <c r="D564" t="s">
        <v>1902</v>
      </c>
      <c r="E564">
        <v>0</v>
      </c>
    </row>
    <row r="565" spans="1:5" hidden="1">
      <c r="A565" t="s">
        <v>1846</v>
      </c>
      <c r="B565">
        <v>500302683</v>
      </c>
      <c r="C565" s="60">
        <v>45943</v>
      </c>
      <c r="D565" t="s">
        <v>1902</v>
      </c>
      <c r="E565">
        <v>0</v>
      </c>
    </row>
    <row r="566" spans="1:5" hidden="1">
      <c r="A566" t="s">
        <v>1854</v>
      </c>
      <c r="B566">
        <v>507588212</v>
      </c>
      <c r="C566" s="60">
        <v>45943</v>
      </c>
      <c r="D566" t="s">
        <v>1902</v>
      </c>
      <c r="E566">
        <v>1500</v>
      </c>
    </row>
    <row r="567" spans="1:5" hidden="1">
      <c r="A567" t="s">
        <v>1838</v>
      </c>
      <c r="B567">
        <v>508471802</v>
      </c>
      <c r="C567" s="60">
        <v>45943</v>
      </c>
      <c r="D567" t="s">
        <v>1902</v>
      </c>
      <c r="E567">
        <v>1579</v>
      </c>
    </row>
    <row r="568" spans="1:5" hidden="1">
      <c r="A568" t="s">
        <v>1864</v>
      </c>
      <c r="B568">
        <v>508486569</v>
      </c>
      <c r="C568" s="60">
        <v>45943</v>
      </c>
      <c r="D568" t="s">
        <v>1902</v>
      </c>
      <c r="E568">
        <v>3950</v>
      </c>
    </row>
    <row r="569" spans="1:5" hidden="1">
      <c r="A569" t="s">
        <v>1856</v>
      </c>
      <c r="B569">
        <v>508489777</v>
      </c>
      <c r="C569" s="60">
        <v>45943</v>
      </c>
      <c r="D569" t="s">
        <v>1902</v>
      </c>
      <c r="E569">
        <v>1420</v>
      </c>
    </row>
    <row r="570" spans="1:5" hidden="1">
      <c r="A570" t="s">
        <v>1898</v>
      </c>
      <c r="B570">
        <v>508494322</v>
      </c>
      <c r="C570" s="60">
        <v>45943</v>
      </c>
      <c r="D570" t="s">
        <v>1902</v>
      </c>
      <c r="E570">
        <v>2500</v>
      </c>
    </row>
    <row r="571" spans="1:5" hidden="1">
      <c r="A571" t="s">
        <v>1884</v>
      </c>
      <c r="B571">
        <v>508693921</v>
      </c>
      <c r="C571" s="60">
        <v>45943</v>
      </c>
      <c r="D571" t="s">
        <v>1902</v>
      </c>
      <c r="E571">
        <v>3500</v>
      </c>
    </row>
    <row r="572" spans="1:5" hidden="1">
      <c r="A572" t="s">
        <v>1895</v>
      </c>
      <c r="B572">
        <v>508702422</v>
      </c>
      <c r="C572" s="60">
        <v>45943</v>
      </c>
      <c r="D572" t="s">
        <v>1902</v>
      </c>
      <c r="E572">
        <v>0</v>
      </c>
    </row>
    <row r="573" spans="1:5" hidden="1">
      <c r="A573" t="s">
        <v>1880</v>
      </c>
      <c r="B573">
        <v>508702475</v>
      </c>
      <c r="C573" s="60">
        <v>45943</v>
      </c>
      <c r="D573" t="s">
        <v>1902</v>
      </c>
      <c r="E573">
        <v>1600</v>
      </c>
    </row>
    <row r="574" spans="1:5" hidden="1">
      <c r="A574" t="s">
        <v>1871</v>
      </c>
      <c r="B574">
        <v>508708281</v>
      </c>
      <c r="C574" s="60">
        <v>45943</v>
      </c>
      <c r="D574" t="s">
        <v>1902</v>
      </c>
      <c r="E574">
        <v>1537</v>
      </c>
    </row>
    <row r="575" spans="1:5" hidden="1">
      <c r="A575" t="s">
        <v>1852</v>
      </c>
      <c r="B575">
        <v>508708997</v>
      </c>
      <c r="C575" s="60">
        <v>45943</v>
      </c>
      <c r="D575" t="s">
        <v>1902</v>
      </c>
      <c r="E575">
        <v>11116</v>
      </c>
    </row>
    <row r="576" spans="1:5" hidden="1">
      <c r="A576" t="s">
        <v>1848</v>
      </c>
      <c r="B576">
        <v>508713009</v>
      </c>
      <c r="C576" s="60">
        <v>45943</v>
      </c>
      <c r="D576" t="s">
        <v>1902</v>
      </c>
      <c r="E576">
        <v>2816</v>
      </c>
    </row>
    <row r="577" spans="1:5" hidden="1">
      <c r="A577" t="s">
        <v>1896</v>
      </c>
      <c r="B577">
        <v>508716336</v>
      </c>
      <c r="C577" s="60">
        <v>45943</v>
      </c>
      <c r="D577" t="s">
        <v>1902</v>
      </c>
      <c r="E577">
        <v>0</v>
      </c>
    </row>
    <row r="578" spans="1:5" hidden="1">
      <c r="A578" t="s">
        <v>1870</v>
      </c>
      <c r="B578">
        <v>508716388</v>
      </c>
      <c r="C578" s="60">
        <v>45943</v>
      </c>
      <c r="D578" t="s">
        <v>1902</v>
      </c>
      <c r="E578">
        <v>0</v>
      </c>
    </row>
    <row r="579" spans="1:5" hidden="1">
      <c r="A579" t="s">
        <v>1858</v>
      </c>
      <c r="B579">
        <v>508721849</v>
      </c>
      <c r="C579" s="60">
        <v>45943</v>
      </c>
      <c r="D579" t="s">
        <v>1902</v>
      </c>
      <c r="E579">
        <v>780</v>
      </c>
    </row>
    <row r="580" spans="1:5" hidden="1">
      <c r="A580" t="s">
        <v>1885</v>
      </c>
      <c r="B580">
        <v>508725273</v>
      </c>
      <c r="C580" s="60">
        <v>45943</v>
      </c>
      <c r="D580" t="s">
        <v>1902</v>
      </c>
      <c r="E580">
        <v>1100</v>
      </c>
    </row>
    <row r="581" spans="1:5" hidden="1">
      <c r="A581" t="s">
        <v>1874</v>
      </c>
      <c r="B581">
        <v>508725782</v>
      </c>
      <c r="C581" s="60">
        <v>45943</v>
      </c>
      <c r="D581" t="s">
        <v>1902</v>
      </c>
      <c r="E581">
        <v>2000</v>
      </c>
    </row>
    <row r="582" spans="1:5" hidden="1">
      <c r="A582" t="s">
        <v>1893</v>
      </c>
      <c r="B582">
        <v>508725921</v>
      </c>
      <c r="C582" s="60">
        <v>45943</v>
      </c>
      <c r="D582" t="s">
        <v>1902</v>
      </c>
      <c r="E582">
        <v>0</v>
      </c>
    </row>
    <row r="583" spans="1:5" hidden="1">
      <c r="A583" t="s">
        <v>1878</v>
      </c>
      <c r="B583">
        <v>508733416</v>
      </c>
      <c r="C583" s="60">
        <v>45943</v>
      </c>
      <c r="D583" t="s">
        <v>1902</v>
      </c>
      <c r="E583">
        <v>5750</v>
      </c>
    </row>
    <row r="584" spans="1:5" hidden="1">
      <c r="A584" t="s">
        <v>1818</v>
      </c>
      <c r="B584">
        <v>508736846</v>
      </c>
      <c r="C584" s="60">
        <v>45943</v>
      </c>
      <c r="D584" t="s">
        <v>1902</v>
      </c>
      <c r="E584">
        <v>3749</v>
      </c>
    </row>
    <row r="585" spans="1:5" hidden="1">
      <c r="A585" t="s">
        <v>1826</v>
      </c>
      <c r="B585">
        <v>508740684</v>
      </c>
      <c r="C585" s="60">
        <v>45943</v>
      </c>
      <c r="D585" t="s">
        <v>1902</v>
      </c>
      <c r="E585">
        <v>1149</v>
      </c>
    </row>
    <row r="586" spans="1:5" hidden="1">
      <c r="A586" t="s">
        <v>1888</v>
      </c>
      <c r="B586">
        <v>511999180</v>
      </c>
      <c r="C586" s="60">
        <v>45943</v>
      </c>
      <c r="D586" t="s">
        <v>1902</v>
      </c>
      <c r="E586">
        <v>3380</v>
      </c>
    </row>
    <row r="587" spans="1:5" hidden="1">
      <c r="A587" t="s">
        <v>1897</v>
      </c>
      <c r="B587">
        <v>512010155</v>
      </c>
      <c r="C587" s="60">
        <v>45943</v>
      </c>
      <c r="D587" t="s">
        <v>1902</v>
      </c>
      <c r="E587">
        <v>1374</v>
      </c>
    </row>
    <row r="588" spans="1:5" hidden="1">
      <c r="A588" t="s">
        <v>1879</v>
      </c>
      <c r="B588">
        <v>512068958</v>
      </c>
      <c r="C588" s="60">
        <v>45943</v>
      </c>
      <c r="D588" t="s">
        <v>1902</v>
      </c>
      <c r="E588">
        <v>2920</v>
      </c>
    </row>
    <row r="589" spans="1:5" hidden="1">
      <c r="A589" t="s">
        <v>1862</v>
      </c>
      <c r="B589">
        <v>512069023</v>
      </c>
      <c r="C589" s="60">
        <v>45943</v>
      </c>
      <c r="D589" t="s">
        <v>1902</v>
      </c>
      <c r="E589">
        <v>990</v>
      </c>
    </row>
    <row r="590" spans="1:5" hidden="1">
      <c r="A590" t="s">
        <v>1859</v>
      </c>
      <c r="B590">
        <v>512077781</v>
      </c>
      <c r="C590" s="60">
        <v>45943</v>
      </c>
      <c r="D590" t="s">
        <v>1902</v>
      </c>
      <c r="E590">
        <v>2000</v>
      </c>
    </row>
    <row r="591" spans="1:5" hidden="1">
      <c r="A591" t="s">
        <v>1894</v>
      </c>
      <c r="B591">
        <v>512092656</v>
      </c>
      <c r="C591" s="60">
        <v>45943</v>
      </c>
      <c r="D591" t="s">
        <v>1902</v>
      </c>
      <c r="E591">
        <v>4450</v>
      </c>
    </row>
    <row r="592" spans="1:5" hidden="1">
      <c r="A592" t="s">
        <v>1849</v>
      </c>
      <c r="B592">
        <v>512095414</v>
      </c>
      <c r="C592" s="60">
        <v>45943</v>
      </c>
      <c r="D592" t="s">
        <v>1902</v>
      </c>
      <c r="E592">
        <v>990</v>
      </c>
    </row>
    <row r="593" spans="1:5" hidden="1">
      <c r="A593" t="s">
        <v>1834</v>
      </c>
      <c r="B593">
        <v>512377417</v>
      </c>
      <c r="C593" s="60">
        <v>45943</v>
      </c>
      <c r="D593" t="s">
        <v>1902</v>
      </c>
      <c r="E593">
        <v>1900</v>
      </c>
    </row>
    <row r="594" spans="1:5" hidden="1">
      <c r="A594" t="s">
        <v>1860</v>
      </c>
      <c r="B594">
        <v>512528413</v>
      </c>
      <c r="C594" s="60">
        <v>45943</v>
      </c>
      <c r="D594" t="s">
        <v>1902</v>
      </c>
      <c r="E594">
        <v>1998</v>
      </c>
    </row>
    <row r="595" spans="1:5" hidden="1">
      <c r="A595" t="s">
        <v>1832</v>
      </c>
      <c r="B595">
        <v>512748064</v>
      </c>
      <c r="C595" s="60">
        <v>45943</v>
      </c>
      <c r="D595" t="s">
        <v>1902</v>
      </c>
      <c r="E595">
        <v>890</v>
      </c>
    </row>
    <row r="596" spans="1:5" hidden="1">
      <c r="A596" t="s">
        <v>1851</v>
      </c>
      <c r="B596">
        <v>512750655</v>
      </c>
      <c r="C596" s="60">
        <v>45943</v>
      </c>
      <c r="D596" t="s">
        <v>1902</v>
      </c>
      <c r="E596">
        <v>6500</v>
      </c>
    </row>
    <row r="597" spans="1:5" hidden="1">
      <c r="A597" t="s">
        <v>1835</v>
      </c>
      <c r="B597">
        <v>513631237</v>
      </c>
      <c r="C597" s="60">
        <v>45943</v>
      </c>
      <c r="D597" t="s">
        <v>1902</v>
      </c>
      <c r="E597">
        <v>1379</v>
      </c>
    </row>
    <row r="598" spans="1:5" hidden="1">
      <c r="A598" t="s">
        <v>1901</v>
      </c>
      <c r="B598">
        <v>513990526</v>
      </c>
      <c r="C598" s="60">
        <v>45943</v>
      </c>
      <c r="D598" t="s">
        <v>1902</v>
      </c>
      <c r="E598">
        <v>7300</v>
      </c>
    </row>
    <row r="599" spans="1:5" hidden="1">
      <c r="A599" t="s">
        <v>1847</v>
      </c>
      <c r="B599">
        <v>514318162</v>
      </c>
      <c r="C599" s="60">
        <v>45943</v>
      </c>
      <c r="D599" t="s">
        <v>1902</v>
      </c>
      <c r="E599">
        <v>3000</v>
      </c>
    </row>
    <row r="600" spans="1:5" hidden="1">
      <c r="A600" t="s">
        <v>1857</v>
      </c>
      <c r="B600">
        <v>514318181</v>
      </c>
      <c r="C600" s="60">
        <v>45943</v>
      </c>
      <c r="D600" t="s">
        <v>1902</v>
      </c>
      <c r="E600">
        <v>1100</v>
      </c>
    </row>
    <row r="601" spans="1:5" hidden="1">
      <c r="A601" t="s">
        <v>1905</v>
      </c>
      <c r="C601" s="74">
        <v>0.74960648148148146</v>
      </c>
      <c r="D601" t="s">
        <v>2107</v>
      </c>
      <c r="E601">
        <v>4130</v>
      </c>
    </row>
    <row r="602" spans="1:5" hidden="1">
      <c r="A602" t="s">
        <v>1906</v>
      </c>
      <c r="C602" s="74">
        <v>0.74949074074074074</v>
      </c>
      <c r="D602" t="s">
        <v>2107</v>
      </c>
      <c r="E602">
        <v>0</v>
      </c>
    </row>
    <row r="603" spans="1:5" hidden="1">
      <c r="A603" t="s">
        <v>1907</v>
      </c>
      <c r="C603" s="74">
        <v>0.74755787037037036</v>
      </c>
      <c r="D603" t="s">
        <v>2107</v>
      </c>
      <c r="E603">
        <v>5800</v>
      </c>
    </row>
    <row r="604" spans="1:5" hidden="1">
      <c r="A604" t="s">
        <v>1908</v>
      </c>
      <c r="C604" s="74">
        <v>0.74711805555555555</v>
      </c>
      <c r="D604" t="s">
        <v>2107</v>
      </c>
      <c r="E604">
        <v>0</v>
      </c>
    </row>
    <row r="605" spans="1:5" hidden="1">
      <c r="A605" t="s">
        <v>1909</v>
      </c>
      <c r="C605" s="74">
        <v>0.74687499999999996</v>
      </c>
      <c r="D605" t="s">
        <v>2107</v>
      </c>
      <c r="E605">
        <v>579</v>
      </c>
    </row>
    <row r="606" spans="1:5" hidden="1">
      <c r="A606" t="s">
        <v>1910</v>
      </c>
      <c r="C606" s="74">
        <v>0.74627314814814816</v>
      </c>
      <c r="D606" t="s">
        <v>2107</v>
      </c>
      <c r="E606">
        <v>3960</v>
      </c>
    </row>
    <row r="607" spans="1:5" hidden="1">
      <c r="A607" t="s">
        <v>1911</v>
      </c>
      <c r="C607" s="74">
        <v>0.74614583333333329</v>
      </c>
      <c r="D607" t="s">
        <v>2107</v>
      </c>
      <c r="E607">
        <v>3325</v>
      </c>
    </row>
    <row r="608" spans="1:5" hidden="1">
      <c r="A608" t="s">
        <v>1678</v>
      </c>
      <c r="C608" s="74">
        <v>0.74561342592592594</v>
      </c>
      <c r="D608" t="s">
        <v>2107</v>
      </c>
      <c r="E608">
        <v>1187</v>
      </c>
    </row>
    <row r="609" spans="1:5" hidden="1">
      <c r="A609" t="s">
        <v>1912</v>
      </c>
      <c r="C609" s="74">
        <v>0.73793981481481485</v>
      </c>
      <c r="D609" t="s">
        <v>2107</v>
      </c>
      <c r="E609">
        <v>770</v>
      </c>
    </row>
    <row r="610" spans="1:5" hidden="1">
      <c r="A610" t="s">
        <v>1913</v>
      </c>
      <c r="C610" s="74">
        <v>0.73790509259259263</v>
      </c>
      <c r="D610" t="s">
        <v>2107</v>
      </c>
      <c r="E610">
        <v>515</v>
      </c>
    </row>
    <row r="611" spans="1:5" hidden="1">
      <c r="A611" t="s">
        <v>1914</v>
      </c>
      <c r="C611" s="74">
        <v>0.73784722222222221</v>
      </c>
      <c r="D611" t="s">
        <v>2107</v>
      </c>
      <c r="E611">
        <v>590</v>
      </c>
    </row>
    <row r="612" spans="1:5" hidden="1">
      <c r="A612" t="s">
        <v>1915</v>
      </c>
      <c r="C612" s="74">
        <v>0.73777777777777775</v>
      </c>
      <c r="D612" t="s">
        <v>2107</v>
      </c>
      <c r="E612">
        <v>1130</v>
      </c>
    </row>
    <row r="613" spans="1:5" hidden="1">
      <c r="A613" t="s">
        <v>1916</v>
      </c>
      <c r="C613" s="74">
        <v>0.73774305555555553</v>
      </c>
      <c r="D613" t="s">
        <v>2107</v>
      </c>
      <c r="E613">
        <v>530</v>
      </c>
    </row>
    <row r="614" spans="1:5" hidden="1">
      <c r="A614" t="s">
        <v>1917</v>
      </c>
      <c r="C614" s="74">
        <v>0.73768518518518522</v>
      </c>
      <c r="D614" t="s">
        <v>2107</v>
      </c>
      <c r="E614">
        <v>899</v>
      </c>
    </row>
    <row r="615" spans="1:5" hidden="1">
      <c r="A615" t="s">
        <v>1918</v>
      </c>
      <c r="C615" s="74">
        <v>0.73760416666666662</v>
      </c>
      <c r="D615" t="s">
        <v>2107</v>
      </c>
      <c r="E615">
        <v>2397</v>
      </c>
    </row>
    <row r="616" spans="1:5" hidden="1">
      <c r="A616" t="s">
        <v>1919</v>
      </c>
      <c r="C616" s="74">
        <v>0.73755787037037035</v>
      </c>
      <c r="D616" t="s">
        <v>2107</v>
      </c>
      <c r="E616">
        <v>1199</v>
      </c>
    </row>
    <row r="617" spans="1:5" hidden="1">
      <c r="A617" t="s">
        <v>1920</v>
      </c>
      <c r="C617" s="74">
        <v>0.73750000000000004</v>
      </c>
      <c r="D617" t="s">
        <v>2107</v>
      </c>
      <c r="E617">
        <v>0</v>
      </c>
    </row>
    <row r="618" spans="1:5" hidden="1">
      <c r="A618" t="s">
        <v>1921</v>
      </c>
      <c r="C618" s="74">
        <v>0.73744212962962963</v>
      </c>
      <c r="D618" t="s">
        <v>2107</v>
      </c>
      <c r="E618">
        <v>1600</v>
      </c>
    </row>
    <row r="619" spans="1:5" hidden="1">
      <c r="A619" t="s">
        <v>1922</v>
      </c>
      <c r="C619" s="74">
        <v>0.73726851851851849</v>
      </c>
      <c r="D619" t="s">
        <v>2107</v>
      </c>
      <c r="E619">
        <v>560</v>
      </c>
    </row>
    <row r="620" spans="1:5" hidden="1">
      <c r="A620" t="s">
        <v>1923</v>
      </c>
      <c r="C620" s="74">
        <v>0.7371064814814815</v>
      </c>
      <c r="D620" t="s">
        <v>2107</v>
      </c>
      <c r="E620">
        <v>1150</v>
      </c>
    </row>
    <row r="621" spans="1:5" hidden="1">
      <c r="A621" t="s">
        <v>1924</v>
      </c>
      <c r="C621" s="74">
        <v>0.73701388888888886</v>
      </c>
      <c r="D621" t="s">
        <v>2107</v>
      </c>
      <c r="E621">
        <v>2450</v>
      </c>
    </row>
    <row r="622" spans="1:5" hidden="1">
      <c r="A622" t="s">
        <v>1925</v>
      </c>
      <c r="C622" s="74">
        <v>0.7369444444444444</v>
      </c>
      <c r="D622" t="s">
        <v>2107</v>
      </c>
      <c r="E622">
        <v>1928</v>
      </c>
    </row>
    <row r="623" spans="1:5" hidden="1">
      <c r="A623" t="s">
        <v>1926</v>
      </c>
      <c r="C623" s="74">
        <v>0.7368865740740741</v>
      </c>
      <c r="D623" t="s">
        <v>2107</v>
      </c>
      <c r="E623">
        <v>409</v>
      </c>
    </row>
    <row r="624" spans="1:5" hidden="1">
      <c r="A624" t="s">
        <v>1927</v>
      </c>
      <c r="C624" s="74">
        <v>0.73685185185185187</v>
      </c>
      <c r="D624" t="s">
        <v>2107</v>
      </c>
      <c r="E624">
        <v>1250</v>
      </c>
    </row>
    <row r="625" spans="1:5" hidden="1">
      <c r="A625" t="s">
        <v>1928</v>
      </c>
      <c r="C625" s="74">
        <v>0.73678240740740741</v>
      </c>
      <c r="D625" t="s">
        <v>2107</v>
      </c>
      <c r="E625">
        <v>1335</v>
      </c>
    </row>
    <row r="626" spans="1:5" hidden="1">
      <c r="A626" t="s">
        <v>1929</v>
      </c>
      <c r="C626" s="74">
        <v>0.73668981481481477</v>
      </c>
      <c r="D626" t="s">
        <v>2107</v>
      </c>
      <c r="E626">
        <v>1181</v>
      </c>
    </row>
    <row r="627" spans="1:5" hidden="1">
      <c r="A627" t="s">
        <v>1930</v>
      </c>
      <c r="C627" s="74">
        <v>0.73663194444444446</v>
      </c>
      <c r="D627" t="s">
        <v>2107</v>
      </c>
      <c r="E627">
        <v>1749</v>
      </c>
    </row>
    <row r="628" spans="1:5" hidden="1">
      <c r="A628" t="s">
        <v>1931</v>
      </c>
      <c r="C628" s="74">
        <v>0.73652777777777778</v>
      </c>
      <c r="D628" t="s">
        <v>2107</v>
      </c>
      <c r="E628">
        <v>2450</v>
      </c>
    </row>
    <row r="629" spans="1:5" hidden="1">
      <c r="A629" t="s">
        <v>1932</v>
      </c>
      <c r="C629" s="74">
        <v>0.73641203703703706</v>
      </c>
      <c r="D629" t="s">
        <v>2107</v>
      </c>
      <c r="E629">
        <v>3500</v>
      </c>
    </row>
    <row r="630" spans="1:5" hidden="1">
      <c r="A630" t="s">
        <v>1933</v>
      </c>
      <c r="C630" s="74">
        <v>0.73593750000000002</v>
      </c>
      <c r="D630" t="s">
        <v>2107</v>
      </c>
      <c r="E630">
        <v>487</v>
      </c>
    </row>
    <row r="631" spans="1:5" hidden="1">
      <c r="A631" t="s">
        <v>1934</v>
      </c>
      <c r="C631" s="74">
        <v>0.7358217592592593</v>
      </c>
      <c r="D631" t="s">
        <v>2107</v>
      </c>
      <c r="E631">
        <v>829</v>
      </c>
    </row>
    <row r="632" spans="1:5" hidden="1">
      <c r="A632" t="s">
        <v>1935</v>
      </c>
      <c r="C632" s="74">
        <v>0.73576388888888888</v>
      </c>
      <c r="D632" t="s">
        <v>2107</v>
      </c>
      <c r="E632">
        <v>530</v>
      </c>
    </row>
    <row r="633" spans="1:5" hidden="1">
      <c r="A633" t="s">
        <v>1936</v>
      </c>
      <c r="C633" s="74">
        <v>0.73569444444444443</v>
      </c>
      <c r="D633" t="s">
        <v>2107</v>
      </c>
      <c r="E633">
        <v>240</v>
      </c>
    </row>
    <row r="634" spans="1:5" hidden="1">
      <c r="A634" t="s">
        <v>1937</v>
      </c>
      <c r="C634" s="74">
        <v>0.73557870370370371</v>
      </c>
      <c r="D634" t="s">
        <v>2107</v>
      </c>
      <c r="E634">
        <v>1159</v>
      </c>
    </row>
    <row r="635" spans="1:5" hidden="1">
      <c r="A635" t="s">
        <v>1938</v>
      </c>
      <c r="C635" s="74">
        <v>0.73547453703703702</v>
      </c>
      <c r="D635" t="s">
        <v>2107</v>
      </c>
      <c r="E635">
        <v>0</v>
      </c>
    </row>
    <row r="636" spans="1:5" hidden="1">
      <c r="A636" t="s">
        <v>1939</v>
      </c>
      <c r="C636" s="74">
        <v>0.7353587962962963</v>
      </c>
      <c r="D636" t="s">
        <v>2107</v>
      </c>
      <c r="E636">
        <v>1056</v>
      </c>
    </row>
    <row r="637" spans="1:5" hidden="1">
      <c r="A637" t="s">
        <v>1940</v>
      </c>
      <c r="C637" s="74">
        <v>0.73528935185185185</v>
      </c>
      <c r="D637" t="s">
        <v>2107</v>
      </c>
      <c r="E637">
        <v>2397</v>
      </c>
    </row>
    <row r="638" spans="1:5" hidden="1">
      <c r="A638" t="s">
        <v>1941</v>
      </c>
      <c r="C638" s="74">
        <v>0.73521990740740739</v>
      </c>
      <c r="D638" t="s">
        <v>2107</v>
      </c>
      <c r="E638">
        <v>724</v>
      </c>
    </row>
    <row r="639" spans="1:5" hidden="1">
      <c r="A639" t="s">
        <v>1942</v>
      </c>
      <c r="C639" s="74">
        <v>0.73517361111111112</v>
      </c>
      <c r="D639" t="s">
        <v>2107</v>
      </c>
      <c r="E639">
        <v>0</v>
      </c>
    </row>
    <row r="640" spans="1:5" hidden="1">
      <c r="A640" t="s">
        <v>1943</v>
      </c>
      <c r="C640" s="74">
        <v>0.73512731481481486</v>
      </c>
      <c r="D640" t="s">
        <v>2107</v>
      </c>
      <c r="E640">
        <v>3499</v>
      </c>
    </row>
    <row r="641" spans="1:5" hidden="1">
      <c r="A641" t="s">
        <v>1944</v>
      </c>
      <c r="C641" s="74">
        <v>0.7350578703703704</v>
      </c>
      <c r="D641" t="s">
        <v>2107</v>
      </c>
      <c r="E641">
        <v>966</v>
      </c>
    </row>
    <row r="642" spans="1:5" hidden="1">
      <c r="A642" t="s">
        <v>1945</v>
      </c>
      <c r="C642" s="74">
        <v>0.73494212962962968</v>
      </c>
      <c r="D642" t="s">
        <v>2107</v>
      </c>
      <c r="E642">
        <v>2800</v>
      </c>
    </row>
    <row r="643" spans="1:5" hidden="1">
      <c r="A643" t="s">
        <v>1946</v>
      </c>
      <c r="C643" s="74">
        <v>0.73460648148148144</v>
      </c>
      <c r="D643" t="s">
        <v>2107</v>
      </c>
      <c r="E643">
        <v>1795</v>
      </c>
    </row>
    <row r="644" spans="1:5" hidden="1">
      <c r="A644" t="s">
        <v>1947</v>
      </c>
      <c r="C644" s="74">
        <v>0.73456018518518518</v>
      </c>
      <c r="D644" t="s">
        <v>2107</v>
      </c>
      <c r="E644">
        <v>0</v>
      </c>
    </row>
    <row r="645" spans="1:5" hidden="1">
      <c r="A645" t="s">
        <v>1948</v>
      </c>
      <c r="C645" s="74">
        <v>0.73423611111111109</v>
      </c>
      <c r="D645" t="s">
        <v>2107</v>
      </c>
      <c r="E645">
        <v>404</v>
      </c>
    </row>
    <row r="646" spans="1:5" hidden="1">
      <c r="A646" t="s">
        <v>1949</v>
      </c>
      <c r="C646" s="74">
        <v>0.73409722222222218</v>
      </c>
      <c r="D646" t="s">
        <v>2107</v>
      </c>
      <c r="E646">
        <v>534</v>
      </c>
    </row>
    <row r="647" spans="1:5" hidden="1">
      <c r="A647" t="s">
        <v>1950</v>
      </c>
      <c r="C647" s="74">
        <v>0.73196759259259259</v>
      </c>
      <c r="D647" t="s">
        <v>2107</v>
      </c>
      <c r="E647">
        <v>1180</v>
      </c>
    </row>
    <row r="648" spans="1:5" hidden="1">
      <c r="A648" t="s">
        <v>1951</v>
      </c>
      <c r="C648" s="74">
        <v>0.73178240740740741</v>
      </c>
      <c r="D648" t="s">
        <v>2107</v>
      </c>
      <c r="E648">
        <v>1416</v>
      </c>
    </row>
    <row r="649" spans="1:5" hidden="1">
      <c r="A649" t="s">
        <v>1952</v>
      </c>
      <c r="C649" s="74">
        <v>0.71792824074074069</v>
      </c>
      <c r="D649" t="s">
        <v>2107</v>
      </c>
      <c r="E649">
        <v>5600</v>
      </c>
    </row>
    <row r="650" spans="1:5" hidden="1">
      <c r="A650" t="s">
        <v>1953</v>
      </c>
      <c r="C650" s="74">
        <v>0.7170023148148148</v>
      </c>
      <c r="D650" t="s">
        <v>2107</v>
      </c>
      <c r="E650">
        <v>4998</v>
      </c>
    </row>
    <row r="651" spans="1:5" hidden="1">
      <c r="A651" t="s">
        <v>1954</v>
      </c>
      <c r="C651" s="74">
        <v>0.71689814814814812</v>
      </c>
      <c r="D651" t="s">
        <v>2107</v>
      </c>
      <c r="E651">
        <v>1110</v>
      </c>
    </row>
    <row r="652" spans="1:5" hidden="1">
      <c r="A652" t="s">
        <v>1955</v>
      </c>
      <c r="C652" s="74">
        <v>0.71677083333333336</v>
      </c>
      <c r="D652" t="s">
        <v>2107</v>
      </c>
      <c r="E652">
        <v>928</v>
      </c>
    </row>
    <row r="653" spans="1:5" hidden="1">
      <c r="A653" t="s">
        <v>1956</v>
      </c>
      <c r="C653" s="74">
        <v>0.71664351851851849</v>
      </c>
      <c r="D653" t="s">
        <v>2107</v>
      </c>
      <c r="E653">
        <v>4049</v>
      </c>
    </row>
    <row r="654" spans="1:5" hidden="1">
      <c r="A654" t="s">
        <v>1957</v>
      </c>
      <c r="C654" s="74">
        <v>0.7157175925925926</v>
      </c>
      <c r="D654" t="s">
        <v>2107</v>
      </c>
      <c r="E654">
        <v>578</v>
      </c>
    </row>
    <row r="655" spans="1:5" hidden="1">
      <c r="A655" t="s">
        <v>1958</v>
      </c>
      <c r="C655" s="74">
        <v>0.71565972222222218</v>
      </c>
      <c r="D655" t="s">
        <v>2107</v>
      </c>
      <c r="E655">
        <v>2392</v>
      </c>
    </row>
    <row r="656" spans="1:5" hidden="1">
      <c r="A656" t="s">
        <v>1959</v>
      </c>
      <c r="C656" s="74">
        <v>0.71560185185185188</v>
      </c>
      <c r="D656" t="s">
        <v>2107</v>
      </c>
      <c r="E656">
        <v>863</v>
      </c>
    </row>
    <row r="657" spans="1:5" hidden="1">
      <c r="A657" t="s">
        <v>1960</v>
      </c>
      <c r="C657" s="74">
        <v>0.7155555555555555</v>
      </c>
      <c r="D657" t="s">
        <v>2107</v>
      </c>
      <c r="E657">
        <v>860</v>
      </c>
    </row>
    <row r="658" spans="1:5" hidden="1">
      <c r="A658" t="s">
        <v>1961</v>
      </c>
      <c r="C658" s="74">
        <v>0.71550925925925923</v>
      </c>
      <c r="D658" t="s">
        <v>2107</v>
      </c>
      <c r="E658">
        <v>10</v>
      </c>
    </row>
    <row r="659" spans="1:5" hidden="1">
      <c r="A659" t="s">
        <v>1962</v>
      </c>
      <c r="C659" s="74">
        <v>0.7154166666666667</v>
      </c>
      <c r="D659" t="s">
        <v>2107</v>
      </c>
      <c r="E659">
        <v>0</v>
      </c>
    </row>
    <row r="660" spans="1:5" hidden="1">
      <c r="A660" t="s">
        <v>1963</v>
      </c>
      <c r="C660" s="74">
        <v>0.71537037037037032</v>
      </c>
      <c r="D660" t="s">
        <v>2107</v>
      </c>
      <c r="E660">
        <v>2700</v>
      </c>
    </row>
    <row r="661" spans="1:5" hidden="1">
      <c r="A661" t="s">
        <v>1964</v>
      </c>
      <c r="C661" s="74">
        <v>0.71528935185185183</v>
      </c>
      <c r="D661" t="s">
        <v>2107</v>
      </c>
      <c r="E661">
        <v>0</v>
      </c>
    </row>
    <row r="662" spans="1:5" hidden="1">
      <c r="A662" t="s">
        <v>1965</v>
      </c>
      <c r="C662" s="74">
        <v>0.7151967592592593</v>
      </c>
      <c r="D662" t="s">
        <v>2107</v>
      </c>
      <c r="E662">
        <v>4000</v>
      </c>
    </row>
    <row r="663" spans="1:5" hidden="1">
      <c r="A663" t="s">
        <v>1966</v>
      </c>
      <c r="C663" s="74">
        <v>0.71509259259259261</v>
      </c>
      <c r="D663" t="s">
        <v>2107</v>
      </c>
      <c r="E663">
        <v>1598</v>
      </c>
    </row>
    <row r="664" spans="1:5" hidden="1">
      <c r="A664" t="s">
        <v>1967</v>
      </c>
      <c r="C664" s="74">
        <v>0.71501157407407412</v>
      </c>
      <c r="D664" t="s">
        <v>2107</v>
      </c>
      <c r="E664">
        <v>2429</v>
      </c>
    </row>
    <row r="665" spans="1:5" hidden="1">
      <c r="A665" t="s">
        <v>1968</v>
      </c>
      <c r="C665" s="74">
        <v>0.71493055555555551</v>
      </c>
      <c r="D665" t="s">
        <v>2107</v>
      </c>
      <c r="E665">
        <v>529</v>
      </c>
    </row>
    <row r="666" spans="1:5" hidden="1">
      <c r="A666" t="s">
        <v>1969</v>
      </c>
      <c r="C666" s="74">
        <v>0.71488425925925925</v>
      </c>
      <c r="D666" t="s">
        <v>2107</v>
      </c>
      <c r="E666">
        <v>404</v>
      </c>
    </row>
    <row r="667" spans="1:5" hidden="1">
      <c r="A667" t="s">
        <v>1970</v>
      </c>
      <c r="C667" s="74">
        <v>0.71481481481481479</v>
      </c>
      <c r="D667" t="s">
        <v>2107</v>
      </c>
      <c r="E667">
        <v>950</v>
      </c>
    </row>
    <row r="668" spans="1:5" hidden="1">
      <c r="A668" t="s">
        <v>1971</v>
      </c>
      <c r="C668" s="74">
        <v>0.71478009259259256</v>
      </c>
      <c r="D668" t="s">
        <v>2107</v>
      </c>
      <c r="E668">
        <v>429</v>
      </c>
    </row>
    <row r="669" spans="1:5" hidden="1">
      <c r="A669" t="s">
        <v>1972</v>
      </c>
      <c r="C669" s="74">
        <v>0.7147337962962963</v>
      </c>
      <c r="D669" t="s">
        <v>2107</v>
      </c>
      <c r="E669">
        <v>8950</v>
      </c>
    </row>
    <row r="670" spans="1:5" hidden="1">
      <c r="A670" t="s">
        <v>1973</v>
      </c>
      <c r="C670" s="74">
        <v>0.71467592592592588</v>
      </c>
      <c r="D670" t="s">
        <v>2107</v>
      </c>
      <c r="E670">
        <v>4750</v>
      </c>
    </row>
    <row r="671" spans="1:5" hidden="1">
      <c r="A671" t="s">
        <v>1974</v>
      </c>
      <c r="C671" s="74">
        <v>0.71460648148148154</v>
      </c>
      <c r="D671" t="s">
        <v>2107</v>
      </c>
      <c r="E671">
        <v>1120</v>
      </c>
    </row>
    <row r="672" spans="1:5" hidden="1">
      <c r="A672" t="s">
        <v>1975</v>
      </c>
      <c r="C672" s="74">
        <v>0.7144907407407407</v>
      </c>
      <c r="D672" t="s">
        <v>2107</v>
      </c>
      <c r="E672">
        <v>995</v>
      </c>
    </row>
    <row r="673" spans="1:5" hidden="1">
      <c r="A673" t="s">
        <v>1976</v>
      </c>
      <c r="C673" s="74">
        <v>0.71444444444444444</v>
      </c>
      <c r="D673" t="s">
        <v>2107</v>
      </c>
      <c r="E673">
        <v>1411</v>
      </c>
    </row>
    <row r="674" spans="1:5" hidden="1">
      <c r="A674" t="s">
        <v>1977</v>
      </c>
      <c r="C674" s="74">
        <v>0.71437499999999998</v>
      </c>
      <c r="D674" t="s">
        <v>2107</v>
      </c>
      <c r="E674">
        <v>829</v>
      </c>
    </row>
    <row r="675" spans="1:5" hidden="1">
      <c r="A675" t="s">
        <v>1978</v>
      </c>
      <c r="C675" s="74">
        <v>0.71428240740740745</v>
      </c>
      <c r="D675" t="s">
        <v>2107</v>
      </c>
      <c r="E675">
        <v>1100</v>
      </c>
    </row>
    <row r="676" spans="1:5" hidden="1">
      <c r="A676" t="s">
        <v>1979</v>
      </c>
      <c r="C676" s="74">
        <v>0.71416666666666662</v>
      </c>
      <c r="D676" t="s">
        <v>2107</v>
      </c>
      <c r="E676">
        <v>2499</v>
      </c>
    </row>
    <row r="677" spans="1:5" hidden="1">
      <c r="A677" t="s">
        <v>1980</v>
      </c>
      <c r="C677" s="74">
        <v>0.71407407407407408</v>
      </c>
      <c r="D677" t="s">
        <v>2107</v>
      </c>
      <c r="E677">
        <v>523</v>
      </c>
    </row>
    <row r="678" spans="1:5" hidden="1">
      <c r="A678" t="s">
        <v>1981</v>
      </c>
      <c r="C678" s="74">
        <v>0.7139699074074074</v>
      </c>
      <c r="D678" t="s">
        <v>2107</v>
      </c>
      <c r="E678">
        <v>5200</v>
      </c>
    </row>
    <row r="679" spans="1:5" hidden="1">
      <c r="A679" t="s">
        <v>1982</v>
      </c>
      <c r="C679" s="74">
        <v>0.71321759259259254</v>
      </c>
      <c r="D679" t="s">
        <v>2107</v>
      </c>
      <c r="E679">
        <v>757</v>
      </c>
    </row>
    <row r="680" spans="1:5" hidden="1">
      <c r="A680" t="s">
        <v>1983</v>
      </c>
      <c r="C680" s="74">
        <v>0.71311342592592597</v>
      </c>
      <c r="D680" t="s">
        <v>2107</v>
      </c>
      <c r="E680">
        <v>4800</v>
      </c>
    </row>
    <row r="681" spans="1:5" hidden="1">
      <c r="A681" t="s">
        <v>1984</v>
      </c>
      <c r="C681" s="74">
        <v>0.71304398148148151</v>
      </c>
      <c r="D681" t="s">
        <v>2107</v>
      </c>
      <c r="E681">
        <v>2449</v>
      </c>
    </row>
    <row r="682" spans="1:5" hidden="1">
      <c r="A682" t="s">
        <v>1985</v>
      </c>
      <c r="C682" s="74">
        <v>0.71299768518518514</v>
      </c>
      <c r="D682" t="s">
        <v>2107</v>
      </c>
      <c r="E682">
        <v>0</v>
      </c>
    </row>
    <row r="683" spans="1:5" hidden="1">
      <c r="A683" t="s">
        <v>1986</v>
      </c>
      <c r="C683" s="74">
        <v>0.71293981481481483</v>
      </c>
      <c r="D683" t="s">
        <v>2107</v>
      </c>
      <c r="E683">
        <v>630</v>
      </c>
    </row>
    <row r="684" spans="1:5" hidden="1">
      <c r="A684" t="s">
        <v>1987</v>
      </c>
      <c r="C684" s="74">
        <v>0.71289351851851857</v>
      </c>
      <c r="D684" t="s">
        <v>2107</v>
      </c>
      <c r="E684">
        <v>758</v>
      </c>
    </row>
    <row r="685" spans="1:5" hidden="1">
      <c r="A685" t="s">
        <v>1988</v>
      </c>
      <c r="C685" s="74">
        <v>0.71283564814814815</v>
      </c>
      <c r="D685" t="s">
        <v>2107</v>
      </c>
      <c r="E685">
        <v>2600</v>
      </c>
    </row>
    <row r="686" spans="1:5" hidden="1">
      <c r="A686" t="s">
        <v>1989</v>
      </c>
      <c r="C686" s="74">
        <v>0.71278935185185188</v>
      </c>
      <c r="D686" t="s">
        <v>2107</v>
      </c>
      <c r="E686">
        <v>1630</v>
      </c>
    </row>
    <row r="687" spans="1:5" hidden="1">
      <c r="A687" t="s">
        <v>1990</v>
      </c>
      <c r="C687" s="74">
        <v>0.71271990740740743</v>
      </c>
      <c r="D687" t="s">
        <v>2107</v>
      </c>
      <c r="E687">
        <v>2300</v>
      </c>
    </row>
    <row r="688" spans="1:5" hidden="1">
      <c r="A688" t="s">
        <v>1991</v>
      </c>
      <c r="C688" s="74">
        <v>0.71267361111111116</v>
      </c>
      <c r="D688" t="s">
        <v>2107</v>
      </c>
      <c r="E688">
        <v>4980</v>
      </c>
    </row>
    <row r="689" spans="1:5" hidden="1">
      <c r="A689" t="s">
        <v>1992</v>
      </c>
      <c r="C689" s="74">
        <v>0.71262731481481478</v>
      </c>
      <c r="D689" t="s">
        <v>2107</v>
      </c>
      <c r="E689">
        <v>2150</v>
      </c>
    </row>
    <row r="690" spans="1:5" hidden="1">
      <c r="A690" t="s">
        <v>1993</v>
      </c>
      <c r="C690" s="74">
        <v>0.71256944444444448</v>
      </c>
      <c r="D690" t="s">
        <v>2107</v>
      </c>
      <c r="E690">
        <v>680</v>
      </c>
    </row>
    <row r="691" spans="1:5" hidden="1">
      <c r="A691" t="s">
        <v>1994</v>
      </c>
      <c r="C691" s="74">
        <v>0.71247685185185183</v>
      </c>
      <c r="D691" t="s">
        <v>2107</v>
      </c>
      <c r="E691">
        <v>1140</v>
      </c>
    </row>
    <row r="692" spans="1:5" hidden="1">
      <c r="A692" t="s">
        <v>1995</v>
      </c>
      <c r="C692" s="74">
        <v>0.71236111111111111</v>
      </c>
      <c r="D692" t="s">
        <v>2107</v>
      </c>
      <c r="E692">
        <v>3300</v>
      </c>
    </row>
    <row r="693" spans="1:5" hidden="1">
      <c r="A693" t="s">
        <v>1996</v>
      </c>
      <c r="C693" s="74">
        <v>0.71231481481481485</v>
      </c>
      <c r="D693" t="s">
        <v>2107</v>
      </c>
      <c r="E693">
        <v>1250</v>
      </c>
    </row>
    <row r="694" spans="1:5" hidden="1">
      <c r="A694" t="s">
        <v>1997</v>
      </c>
      <c r="C694" s="74">
        <v>0.71224537037037039</v>
      </c>
      <c r="D694" t="s">
        <v>2107</v>
      </c>
      <c r="E694">
        <v>17900</v>
      </c>
    </row>
    <row r="695" spans="1:5" hidden="1">
      <c r="A695" t="s">
        <v>1998</v>
      </c>
      <c r="C695" s="74">
        <v>0.71208333333333329</v>
      </c>
      <c r="D695" t="s">
        <v>2107</v>
      </c>
      <c r="E695">
        <v>2524</v>
      </c>
    </row>
    <row r="696" spans="1:5" hidden="1">
      <c r="A696" t="s">
        <v>1999</v>
      </c>
      <c r="C696" s="74">
        <v>0.71199074074074076</v>
      </c>
      <c r="D696" t="s">
        <v>2107</v>
      </c>
      <c r="E696">
        <v>1400</v>
      </c>
    </row>
    <row r="697" spans="1:5" hidden="1">
      <c r="A697" t="s">
        <v>2000</v>
      </c>
      <c r="C697" s="74">
        <v>0.71190972222222226</v>
      </c>
      <c r="D697" t="s">
        <v>2107</v>
      </c>
      <c r="E697">
        <v>3150</v>
      </c>
    </row>
    <row r="698" spans="1:5" hidden="1">
      <c r="A698" t="s">
        <v>2001</v>
      </c>
      <c r="C698" s="74">
        <v>0.71182870370370366</v>
      </c>
      <c r="D698" t="s">
        <v>2107</v>
      </c>
      <c r="E698">
        <v>929</v>
      </c>
    </row>
    <row r="699" spans="1:5" hidden="1">
      <c r="A699" t="s">
        <v>2002</v>
      </c>
      <c r="C699" s="74">
        <v>0.71178240740740739</v>
      </c>
      <c r="D699" t="s">
        <v>2107</v>
      </c>
      <c r="E699">
        <v>510</v>
      </c>
    </row>
    <row r="700" spans="1:5" hidden="1">
      <c r="A700" t="s">
        <v>2003</v>
      </c>
      <c r="C700" s="74">
        <v>0.71172453703703709</v>
      </c>
      <c r="D700" t="s">
        <v>2107</v>
      </c>
      <c r="E700">
        <v>991</v>
      </c>
    </row>
    <row r="701" spans="1:5" hidden="1">
      <c r="A701" t="s">
        <v>2004</v>
      </c>
      <c r="C701" s="74">
        <v>0.71166666666666667</v>
      </c>
      <c r="D701" t="s">
        <v>2107</v>
      </c>
      <c r="E701">
        <v>1303</v>
      </c>
    </row>
    <row r="702" spans="1:5" hidden="1">
      <c r="A702" t="s">
        <v>2005</v>
      </c>
      <c r="C702" s="74">
        <v>0.71159722222222221</v>
      </c>
      <c r="D702" t="s">
        <v>2107</v>
      </c>
      <c r="E702">
        <v>2182</v>
      </c>
    </row>
    <row r="703" spans="1:5" hidden="1">
      <c r="A703" t="s">
        <v>2006</v>
      </c>
      <c r="C703" s="74">
        <v>0.7115393518518518</v>
      </c>
      <c r="D703" t="s">
        <v>2107</v>
      </c>
      <c r="E703">
        <v>0</v>
      </c>
    </row>
    <row r="704" spans="1:5" hidden="1">
      <c r="A704" t="s">
        <v>2007</v>
      </c>
      <c r="C704" s="74">
        <v>0.71137731481481481</v>
      </c>
      <c r="D704" t="s">
        <v>2107</v>
      </c>
      <c r="E704">
        <v>956</v>
      </c>
    </row>
    <row r="705" spans="1:5" hidden="1">
      <c r="A705" t="s">
        <v>2008</v>
      </c>
      <c r="C705" s="74">
        <v>0.7107175925925926</v>
      </c>
      <c r="D705" t="s">
        <v>2107</v>
      </c>
      <c r="E705">
        <v>0</v>
      </c>
    </row>
    <row r="706" spans="1:5" hidden="1">
      <c r="A706" t="s">
        <v>2009</v>
      </c>
      <c r="C706" s="74">
        <v>0.71065972222222218</v>
      </c>
      <c r="D706" t="s">
        <v>2107</v>
      </c>
      <c r="E706">
        <v>540</v>
      </c>
    </row>
    <row r="707" spans="1:5" hidden="1">
      <c r="A707" t="s">
        <v>2010</v>
      </c>
      <c r="C707" s="74">
        <v>0.71053240740740742</v>
      </c>
      <c r="D707" t="s">
        <v>2107</v>
      </c>
      <c r="E707">
        <v>0</v>
      </c>
    </row>
    <row r="708" spans="1:5" hidden="1">
      <c r="A708" t="s">
        <v>2011</v>
      </c>
      <c r="C708" s="74">
        <v>0.71028935185185182</v>
      </c>
      <c r="D708" t="s">
        <v>2107</v>
      </c>
      <c r="E708">
        <v>2999</v>
      </c>
    </row>
    <row r="709" spans="1:5" hidden="1">
      <c r="A709" t="s">
        <v>2012</v>
      </c>
      <c r="C709" s="74">
        <v>0.71016203703703706</v>
      </c>
      <c r="D709" t="s">
        <v>2107</v>
      </c>
      <c r="E709">
        <v>3200</v>
      </c>
    </row>
    <row r="710" spans="1:5" hidden="1">
      <c r="A710" t="s">
        <v>2013</v>
      </c>
      <c r="C710" s="74">
        <v>0.71006944444444442</v>
      </c>
      <c r="D710" t="s">
        <v>2107</v>
      </c>
      <c r="E710">
        <v>0</v>
      </c>
    </row>
    <row r="711" spans="1:5" hidden="1">
      <c r="A711" t="s">
        <v>2014</v>
      </c>
      <c r="C711" s="74">
        <v>0.71001157407407411</v>
      </c>
      <c r="D711" t="s">
        <v>2107</v>
      </c>
      <c r="E711">
        <v>6600</v>
      </c>
    </row>
    <row r="712" spans="1:5" hidden="1">
      <c r="A712" t="s">
        <v>2015</v>
      </c>
      <c r="C712" s="74">
        <v>0.70994212962962966</v>
      </c>
      <c r="D712" t="s">
        <v>2107</v>
      </c>
      <c r="E712">
        <v>3499</v>
      </c>
    </row>
    <row r="713" spans="1:5" hidden="1">
      <c r="A713" t="s">
        <v>2016</v>
      </c>
      <c r="C713" s="74">
        <v>0.70989583333333328</v>
      </c>
      <c r="D713" t="s">
        <v>2107</v>
      </c>
      <c r="E713">
        <v>788</v>
      </c>
    </row>
    <row r="714" spans="1:5" hidden="1">
      <c r="A714" t="s">
        <v>2017</v>
      </c>
      <c r="C714" s="74">
        <v>0.70986111111111116</v>
      </c>
      <c r="D714" t="s">
        <v>2107</v>
      </c>
      <c r="E714">
        <v>1150</v>
      </c>
    </row>
    <row r="715" spans="1:5" hidden="1">
      <c r="A715" t="s">
        <v>2018</v>
      </c>
      <c r="C715" s="74">
        <v>0.70979166666666671</v>
      </c>
      <c r="D715" t="s">
        <v>2107</v>
      </c>
      <c r="E715">
        <v>398</v>
      </c>
    </row>
    <row r="716" spans="1:5" hidden="1">
      <c r="A716" t="s">
        <v>2019</v>
      </c>
      <c r="C716" s="74">
        <v>0.70853009259259259</v>
      </c>
      <c r="D716" t="s">
        <v>2107</v>
      </c>
      <c r="E716">
        <v>1417</v>
      </c>
    </row>
    <row r="717" spans="1:5" hidden="1">
      <c r="A717" t="s">
        <v>2020</v>
      </c>
      <c r="C717" s="74">
        <v>0.70847222222222217</v>
      </c>
      <c r="D717" t="s">
        <v>2107</v>
      </c>
      <c r="E717">
        <v>399</v>
      </c>
    </row>
    <row r="718" spans="1:5" hidden="1">
      <c r="A718" t="s">
        <v>2021</v>
      </c>
      <c r="C718" s="74">
        <v>0.70843750000000005</v>
      </c>
      <c r="D718" t="s">
        <v>2107</v>
      </c>
      <c r="E718">
        <v>1040</v>
      </c>
    </row>
    <row r="719" spans="1:5" hidden="1">
      <c r="A719" t="s">
        <v>2022</v>
      </c>
      <c r="C719" s="74">
        <v>0.70835648148148145</v>
      </c>
      <c r="D719" t="s">
        <v>2107</v>
      </c>
      <c r="E719">
        <v>910</v>
      </c>
    </row>
    <row r="720" spans="1:5" hidden="1">
      <c r="A720" t="s">
        <v>2023</v>
      </c>
      <c r="C720" s="74">
        <v>0.70831018518518518</v>
      </c>
      <c r="D720" t="s">
        <v>2107</v>
      </c>
      <c r="E720">
        <v>949</v>
      </c>
    </row>
    <row r="721" spans="1:5" hidden="1">
      <c r="A721" t="s">
        <v>2024</v>
      </c>
      <c r="C721" s="74">
        <v>0.70765046296296297</v>
      </c>
      <c r="D721" t="s">
        <v>2107</v>
      </c>
      <c r="E721">
        <v>1270</v>
      </c>
    </row>
    <row r="722" spans="1:5" hidden="1">
      <c r="A722" t="s">
        <v>2025</v>
      </c>
      <c r="C722" s="74">
        <v>0.70755787037037032</v>
      </c>
      <c r="D722" t="s">
        <v>2107</v>
      </c>
      <c r="E722">
        <v>999</v>
      </c>
    </row>
    <row r="723" spans="1:5" hidden="1">
      <c r="A723" t="s">
        <v>2026</v>
      </c>
      <c r="C723" s="74">
        <v>0.70741898148148152</v>
      </c>
      <c r="D723" t="s">
        <v>2107</v>
      </c>
      <c r="E723">
        <v>2500</v>
      </c>
    </row>
    <row r="724" spans="1:5" hidden="1">
      <c r="A724" t="s">
        <v>2027</v>
      </c>
      <c r="C724" s="74">
        <v>0.70736111111111111</v>
      </c>
      <c r="D724" t="s">
        <v>2107</v>
      </c>
      <c r="E724">
        <v>863</v>
      </c>
    </row>
    <row r="725" spans="1:5" hidden="1">
      <c r="A725" t="s">
        <v>2028</v>
      </c>
      <c r="C725" s="74">
        <v>0.70729166666666665</v>
      </c>
      <c r="D725" t="s">
        <v>2107</v>
      </c>
      <c r="E725">
        <v>1829</v>
      </c>
    </row>
    <row r="726" spans="1:5" hidden="1">
      <c r="A726" t="s">
        <v>2029</v>
      </c>
      <c r="C726" s="74">
        <v>0.70721064814814816</v>
      </c>
      <c r="D726" t="s">
        <v>2107</v>
      </c>
      <c r="E726">
        <v>1750</v>
      </c>
    </row>
    <row r="727" spans="1:5" hidden="1">
      <c r="A727" t="s">
        <v>2030</v>
      </c>
      <c r="C727" s="74">
        <v>0.70717592592592593</v>
      </c>
      <c r="D727" t="s">
        <v>2107</v>
      </c>
      <c r="E727">
        <v>739</v>
      </c>
    </row>
    <row r="728" spans="1:5" hidden="1">
      <c r="A728" t="s">
        <v>2031</v>
      </c>
      <c r="C728" s="74">
        <v>0.70712962962962966</v>
      </c>
      <c r="D728" t="s">
        <v>2107</v>
      </c>
      <c r="E728">
        <v>0</v>
      </c>
    </row>
    <row r="729" spans="1:5" hidden="1">
      <c r="A729" t="s">
        <v>2032</v>
      </c>
      <c r="C729" s="74">
        <v>0.70704861111111106</v>
      </c>
      <c r="D729" t="s">
        <v>2107</v>
      </c>
      <c r="E729">
        <v>2998</v>
      </c>
    </row>
    <row r="730" spans="1:5" hidden="1">
      <c r="A730" t="s">
        <v>2033</v>
      </c>
      <c r="C730" s="74">
        <v>0.70697916666666671</v>
      </c>
      <c r="D730" t="s">
        <v>2107</v>
      </c>
      <c r="E730">
        <v>1100</v>
      </c>
    </row>
    <row r="731" spans="1:5" hidden="1">
      <c r="A731" t="s">
        <v>2034</v>
      </c>
      <c r="C731" s="74">
        <v>0.70687500000000003</v>
      </c>
      <c r="D731" t="s">
        <v>2107</v>
      </c>
      <c r="E731">
        <v>3000</v>
      </c>
    </row>
    <row r="732" spans="1:5" hidden="1">
      <c r="A732" t="s">
        <v>2035</v>
      </c>
      <c r="C732" s="74">
        <v>0.70678240740740739</v>
      </c>
      <c r="D732" t="s">
        <v>2107</v>
      </c>
      <c r="E732">
        <v>648</v>
      </c>
    </row>
    <row r="733" spans="1:5" hidden="1">
      <c r="A733" t="s">
        <v>2036</v>
      </c>
      <c r="C733" s="74">
        <v>0.70670138888888889</v>
      </c>
      <c r="D733" t="s">
        <v>2107</v>
      </c>
      <c r="E733">
        <v>1948</v>
      </c>
    </row>
    <row r="734" spans="1:5" hidden="1">
      <c r="A734" t="s">
        <v>2037</v>
      </c>
      <c r="C734" s="74">
        <v>0.70663194444444444</v>
      </c>
      <c r="D734" t="s">
        <v>2107</v>
      </c>
      <c r="E734">
        <v>1200</v>
      </c>
    </row>
    <row r="735" spans="1:5" hidden="1">
      <c r="A735" t="s">
        <v>2038</v>
      </c>
      <c r="C735" s="74">
        <v>0.70657407407407402</v>
      </c>
      <c r="D735" t="s">
        <v>2107</v>
      </c>
      <c r="E735">
        <v>3550</v>
      </c>
    </row>
    <row r="736" spans="1:5" hidden="1">
      <c r="A736" t="s">
        <v>2039</v>
      </c>
      <c r="C736" s="74">
        <v>0.70652777777777775</v>
      </c>
      <c r="D736" t="s">
        <v>2107</v>
      </c>
      <c r="E736">
        <v>2850</v>
      </c>
    </row>
    <row r="737" spans="1:5" hidden="1">
      <c r="A737" t="s">
        <v>2040</v>
      </c>
      <c r="C737" s="74">
        <v>0.70636574074074077</v>
      </c>
      <c r="D737" t="s">
        <v>2107</v>
      </c>
      <c r="E737">
        <v>0</v>
      </c>
    </row>
    <row r="738" spans="1:5" hidden="1">
      <c r="A738" t="s">
        <v>2041</v>
      </c>
      <c r="C738" s="74">
        <v>0.70625000000000004</v>
      </c>
      <c r="D738" t="s">
        <v>2107</v>
      </c>
      <c r="E738">
        <v>1107</v>
      </c>
    </row>
    <row r="739" spans="1:5" hidden="1">
      <c r="A739" t="s">
        <v>2042</v>
      </c>
      <c r="C739" s="74">
        <v>0.70616898148148144</v>
      </c>
      <c r="D739" t="s">
        <v>2107</v>
      </c>
      <c r="E739">
        <v>9994</v>
      </c>
    </row>
    <row r="740" spans="1:5" hidden="1">
      <c r="A740" t="s">
        <v>2043</v>
      </c>
      <c r="C740" s="74">
        <v>0.70548611111111115</v>
      </c>
      <c r="D740" t="s">
        <v>2107</v>
      </c>
      <c r="E740">
        <v>1471</v>
      </c>
    </row>
    <row r="741" spans="1:5" hidden="1">
      <c r="A741" t="s">
        <v>2044</v>
      </c>
      <c r="C741" s="74">
        <v>0.70538194444444446</v>
      </c>
      <c r="D741" t="s">
        <v>2107</v>
      </c>
      <c r="E741">
        <v>0</v>
      </c>
    </row>
    <row r="742" spans="1:5" hidden="1">
      <c r="A742" t="s">
        <v>2045</v>
      </c>
      <c r="C742" s="74">
        <v>0.70531250000000001</v>
      </c>
      <c r="D742" t="s">
        <v>2107</v>
      </c>
      <c r="E742">
        <v>798</v>
      </c>
    </row>
    <row r="743" spans="1:5" hidden="1">
      <c r="A743" t="s">
        <v>2046</v>
      </c>
      <c r="C743" s="74">
        <v>0.70524305555555555</v>
      </c>
      <c r="D743" t="s">
        <v>2107</v>
      </c>
      <c r="E743">
        <v>626</v>
      </c>
    </row>
    <row r="744" spans="1:5" hidden="1">
      <c r="A744" t="s">
        <v>2047</v>
      </c>
      <c r="C744" s="74">
        <v>0.70521990740740736</v>
      </c>
      <c r="D744" t="s">
        <v>2107</v>
      </c>
      <c r="E744">
        <v>1799</v>
      </c>
    </row>
    <row r="745" spans="1:5" hidden="1">
      <c r="A745" t="s">
        <v>2048</v>
      </c>
      <c r="C745" s="74">
        <v>0.70512731481481483</v>
      </c>
      <c r="D745" t="s">
        <v>2107</v>
      </c>
      <c r="E745">
        <v>1426</v>
      </c>
    </row>
    <row r="746" spans="1:5" hidden="1">
      <c r="A746" t="s">
        <v>2049</v>
      </c>
      <c r="C746" s="74">
        <v>0.70499999999999996</v>
      </c>
      <c r="D746" t="s">
        <v>2107</v>
      </c>
      <c r="E746">
        <v>1999</v>
      </c>
    </row>
    <row r="747" spans="1:5" hidden="1">
      <c r="A747" t="s">
        <v>2050</v>
      </c>
      <c r="C747" s="74">
        <v>0.70491898148148147</v>
      </c>
      <c r="D747" t="s">
        <v>2107</v>
      </c>
      <c r="E747">
        <v>483</v>
      </c>
    </row>
    <row r="748" spans="1:5" hidden="1">
      <c r="A748" t="s">
        <v>2051</v>
      </c>
      <c r="C748" s="74">
        <v>0.70488425925925924</v>
      </c>
      <c r="D748" t="s">
        <v>2107</v>
      </c>
      <c r="E748">
        <v>3000</v>
      </c>
    </row>
    <row r="749" spans="1:5" hidden="1">
      <c r="A749" t="s">
        <v>2052</v>
      </c>
      <c r="C749" s="74">
        <v>0.70482638888888893</v>
      </c>
      <c r="D749" t="s">
        <v>2107</v>
      </c>
      <c r="E749">
        <v>1400</v>
      </c>
    </row>
    <row r="750" spans="1:5" hidden="1">
      <c r="A750" t="s">
        <v>2053</v>
      </c>
      <c r="C750" s="74">
        <v>0.70476851851851852</v>
      </c>
      <c r="D750" t="s">
        <v>2107</v>
      </c>
      <c r="E750">
        <v>1218</v>
      </c>
    </row>
    <row r="751" spans="1:5" hidden="1">
      <c r="A751" t="s">
        <v>2054</v>
      </c>
      <c r="C751" s="74">
        <v>0.7047106481481481</v>
      </c>
      <c r="D751" t="s">
        <v>2107</v>
      </c>
      <c r="E751">
        <v>539</v>
      </c>
    </row>
    <row r="752" spans="1:5" hidden="1">
      <c r="A752" t="s">
        <v>2055</v>
      </c>
      <c r="C752" s="74">
        <v>0.70464120370370376</v>
      </c>
      <c r="D752" t="s">
        <v>2107</v>
      </c>
      <c r="E752">
        <v>734</v>
      </c>
    </row>
    <row r="753" spans="1:5" hidden="1">
      <c r="A753" t="s">
        <v>2056</v>
      </c>
      <c r="C753" s="74">
        <v>0.70458333333333334</v>
      </c>
      <c r="D753" t="s">
        <v>2107</v>
      </c>
      <c r="E753">
        <v>1600</v>
      </c>
    </row>
    <row r="754" spans="1:5" hidden="1">
      <c r="A754" t="s">
        <v>2057</v>
      </c>
      <c r="C754" s="74">
        <v>0.7044907407407407</v>
      </c>
      <c r="D754" t="s">
        <v>2107</v>
      </c>
      <c r="E754">
        <v>1502</v>
      </c>
    </row>
    <row r="755" spans="1:5" hidden="1">
      <c r="A755" t="s">
        <v>2058</v>
      </c>
      <c r="C755" s="74">
        <v>0.70444444444444443</v>
      </c>
      <c r="D755" t="s">
        <v>2107</v>
      </c>
      <c r="E755">
        <v>2250</v>
      </c>
    </row>
    <row r="756" spans="1:5" hidden="1">
      <c r="A756" t="s">
        <v>2059</v>
      </c>
      <c r="C756" s="74">
        <v>0.70437499999999997</v>
      </c>
      <c r="D756" t="s">
        <v>2107</v>
      </c>
      <c r="E756">
        <v>3800</v>
      </c>
    </row>
    <row r="757" spans="1:5" hidden="1">
      <c r="A757" t="s">
        <v>2060</v>
      </c>
      <c r="C757" s="74">
        <v>0.70427083333333329</v>
      </c>
      <c r="D757" t="s">
        <v>2107</v>
      </c>
      <c r="E757">
        <v>0</v>
      </c>
    </row>
    <row r="758" spans="1:5" hidden="1">
      <c r="A758" t="s">
        <v>2061</v>
      </c>
      <c r="C758" s="74">
        <v>0.70412037037037034</v>
      </c>
      <c r="D758" t="s">
        <v>2107</v>
      </c>
      <c r="E758">
        <v>7275</v>
      </c>
    </row>
    <row r="759" spans="1:5" hidden="1">
      <c r="A759" t="s">
        <v>2062</v>
      </c>
      <c r="C759" s="74">
        <v>0.7038888888888889</v>
      </c>
      <c r="D759" t="s">
        <v>2107</v>
      </c>
      <c r="E759">
        <v>1902</v>
      </c>
    </row>
    <row r="760" spans="1:5" hidden="1">
      <c r="A760" t="s">
        <v>2063</v>
      </c>
      <c r="C760" s="74">
        <v>0.7038078703703704</v>
      </c>
      <c r="D760" t="s">
        <v>2107</v>
      </c>
      <c r="E760">
        <v>757</v>
      </c>
    </row>
    <row r="761" spans="1:5" hidden="1">
      <c r="A761" t="s">
        <v>2064</v>
      </c>
      <c r="C761" s="74">
        <v>0.70374999999999999</v>
      </c>
      <c r="D761" t="s">
        <v>2107</v>
      </c>
      <c r="E761">
        <v>2600</v>
      </c>
    </row>
    <row r="762" spans="1:5" hidden="1">
      <c r="A762" t="s">
        <v>2065</v>
      </c>
      <c r="C762" s="74">
        <v>0.70339120370370367</v>
      </c>
      <c r="D762" t="s">
        <v>2107</v>
      </c>
      <c r="E762">
        <v>14500</v>
      </c>
    </row>
    <row r="763" spans="1:5" hidden="1">
      <c r="A763" t="s">
        <v>2066</v>
      </c>
      <c r="C763" s="74">
        <v>0.70332175925925922</v>
      </c>
      <c r="D763" t="s">
        <v>2107</v>
      </c>
      <c r="E763">
        <v>0</v>
      </c>
    </row>
    <row r="764" spans="1:5" hidden="1">
      <c r="A764" t="s">
        <v>2067</v>
      </c>
      <c r="C764" s="74">
        <v>0.70267361111111115</v>
      </c>
      <c r="D764" t="s">
        <v>2107</v>
      </c>
      <c r="E764">
        <v>0</v>
      </c>
    </row>
    <row r="765" spans="1:5" hidden="1">
      <c r="A765" t="s">
        <v>2068</v>
      </c>
      <c r="C765" s="74">
        <v>0.70254629629629628</v>
      </c>
      <c r="D765" t="s">
        <v>2107</v>
      </c>
      <c r="E765">
        <v>4000</v>
      </c>
    </row>
    <row r="766" spans="1:5" hidden="1">
      <c r="A766" t="s">
        <v>2069</v>
      </c>
      <c r="C766" s="74">
        <v>0.70248842592592597</v>
      </c>
      <c r="D766" t="s">
        <v>2107</v>
      </c>
      <c r="E766">
        <v>1109</v>
      </c>
    </row>
    <row r="767" spans="1:5" hidden="1">
      <c r="A767" t="s">
        <v>2070</v>
      </c>
      <c r="C767" s="74">
        <v>0.70243055555555556</v>
      </c>
      <c r="D767" t="s">
        <v>2107</v>
      </c>
      <c r="E767">
        <v>540</v>
      </c>
    </row>
    <row r="768" spans="1:5" hidden="1">
      <c r="A768" t="s">
        <v>2071</v>
      </c>
      <c r="C768" s="74">
        <v>0.70239583333333333</v>
      </c>
      <c r="D768" t="s">
        <v>2107</v>
      </c>
      <c r="E768">
        <v>4400</v>
      </c>
    </row>
    <row r="769" spans="1:5" hidden="1">
      <c r="A769" t="s">
        <v>2072</v>
      </c>
      <c r="C769" s="74">
        <v>0.70231481481481484</v>
      </c>
      <c r="D769" t="s">
        <v>2107</v>
      </c>
      <c r="E769">
        <v>10000</v>
      </c>
    </row>
    <row r="770" spans="1:5" hidden="1">
      <c r="A770" t="s">
        <v>2073</v>
      </c>
      <c r="C770" s="74">
        <v>0.70217592592592593</v>
      </c>
      <c r="D770" t="s">
        <v>2107</v>
      </c>
      <c r="E770">
        <v>4748</v>
      </c>
    </row>
    <row r="771" spans="1:5" hidden="1">
      <c r="A771" t="s">
        <v>2074</v>
      </c>
      <c r="C771" s="74">
        <v>0.70202546296296298</v>
      </c>
      <c r="D771" t="s">
        <v>2107</v>
      </c>
      <c r="E771">
        <v>4400</v>
      </c>
    </row>
    <row r="772" spans="1:5" hidden="1">
      <c r="A772" t="s">
        <v>2075</v>
      </c>
      <c r="C772" s="74">
        <v>0.70087962962962957</v>
      </c>
      <c r="D772" t="s">
        <v>2107</v>
      </c>
      <c r="E772">
        <v>499</v>
      </c>
    </row>
    <row r="773" spans="1:5" hidden="1">
      <c r="A773" t="s">
        <v>2076</v>
      </c>
      <c r="C773" s="74">
        <v>0.70079861111111108</v>
      </c>
      <c r="D773" t="s">
        <v>2107</v>
      </c>
      <c r="E773">
        <v>0</v>
      </c>
    </row>
    <row r="774" spans="1:5" hidden="1">
      <c r="A774" t="s">
        <v>2077</v>
      </c>
      <c r="C774" s="74">
        <v>0.70068287037037036</v>
      </c>
      <c r="D774" t="s">
        <v>2107</v>
      </c>
      <c r="E774">
        <v>3900</v>
      </c>
    </row>
    <row r="775" spans="1:5" hidden="1">
      <c r="A775" t="s">
        <v>2078</v>
      </c>
      <c r="C775" s="74">
        <v>0.7005555555555556</v>
      </c>
      <c r="D775" t="s">
        <v>2107</v>
      </c>
      <c r="E775">
        <v>3000</v>
      </c>
    </row>
    <row r="776" spans="1:5" hidden="1">
      <c r="A776" t="s">
        <v>2079</v>
      </c>
      <c r="C776" s="74">
        <v>0.70049768518518518</v>
      </c>
      <c r="D776" t="s">
        <v>2107</v>
      </c>
      <c r="E776">
        <v>1500</v>
      </c>
    </row>
    <row r="777" spans="1:5" hidden="1">
      <c r="A777" t="s">
        <v>2080</v>
      </c>
      <c r="C777" s="74">
        <v>0.70042824074074073</v>
      </c>
      <c r="D777" t="s">
        <v>2107</v>
      </c>
      <c r="E777">
        <v>4300</v>
      </c>
    </row>
    <row r="778" spans="1:5" hidden="1">
      <c r="A778" t="s">
        <v>2081</v>
      </c>
      <c r="C778" s="74">
        <v>0.7003935185185185</v>
      </c>
      <c r="D778" t="s">
        <v>2107</v>
      </c>
      <c r="E778">
        <v>2697</v>
      </c>
    </row>
    <row r="779" spans="1:5" hidden="1">
      <c r="A779" t="s">
        <v>2082</v>
      </c>
      <c r="C779" s="74">
        <v>0.70032407407407404</v>
      </c>
      <c r="D779" t="s">
        <v>2107</v>
      </c>
      <c r="E779">
        <v>1890</v>
      </c>
    </row>
    <row r="780" spans="1:5" hidden="1">
      <c r="A780" t="s">
        <v>2083</v>
      </c>
      <c r="C780" s="74">
        <v>0.70019675925925928</v>
      </c>
      <c r="D780" t="s">
        <v>2107</v>
      </c>
      <c r="E780">
        <v>0</v>
      </c>
    </row>
    <row r="781" spans="1:5" hidden="1">
      <c r="A781" t="s">
        <v>2084</v>
      </c>
      <c r="C781" s="74">
        <v>0.69943287037037039</v>
      </c>
      <c r="D781" t="s">
        <v>2107</v>
      </c>
      <c r="E781">
        <v>2290</v>
      </c>
    </row>
    <row r="782" spans="1:5" hidden="1">
      <c r="A782" t="s">
        <v>2085</v>
      </c>
      <c r="C782" s="74">
        <v>0.69936342592592593</v>
      </c>
      <c r="D782" t="s">
        <v>2107</v>
      </c>
      <c r="E782">
        <v>4536</v>
      </c>
    </row>
    <row r="783" spans="1:5" hidden="1">
      <c r="A783" t="s">
        <v>2086</v>
      </c>
      <c r="C783" s="74">
        <v>0.69920138888888894</v>
      </c>
      <c r="D783" t="s">
        <v>2107</v>
      </c>
      <c r="E783">
        <v>3083</v>
      </c>
    </row>
    <row r="784" spans="1:5" hidden="1">
      <c r="A784" t="s">
        <v>2087</v>
      </c>
      <c r="C784" s="74">
        <v>0.69908564814814811</v>
      </c>
      <c r="D784" t="s">
        <v>2107</v>
      </c>
      <c r="E784">
        <v>1300</v>
      </c>
    </row>
    <row r="785" spans="1:5" hidden="1">
      <c r="A785" t="s">
        <v>2088</v>
      </c>
      <c r="C785" s="74">
        <v>0.69892361111111112</v>
      </c>
      <c r="D785" t="s">
        <v>2107</v>
      </c>
      <c r="E785">
        <v>1627</v>
      </c>
    </row>
    <row r="786" spans="1:5" hidden="1">
      <c r="A786" t="s">
        <v>2089</v>
      </c>
      <c r="C786" s="74">
        <v>0.6988078703703704</v>
      </c>
      <c r="D786" t="s">
        <v>2107</v>
      </c>
      <c r="E786">
        <v>0</v>
      </c>
    </row>
    <row r="787" spans="1:5" hidden="1">
      <c r="A787" t="s">
        <v>2090</v>
      </c>
      <c r="C787" s="74">
        <v>0.69873842592592594</v>
      </c>
      <c r="D787" t="s">
        <v>2107</v>
      </c>
      <c r="E787">
        <v>3400</v>
      </c>
    </row>
    <row r="788" spans="1:5" hidden="1">
      <c r="A788" t="s">
        <v>2091</v>
      </c>
      <c r="C788" s="74">
        <v>0.69868055555555553</v>
      </c>
      <c r="D788" t="s">
        <v>2107</v>
      </c>
      <c r="E788">
        <v>5930</v>
      </c>
    </row>
    <row r="789" spans="1:5" hidden="1">
      <c r="A789" t="s">
        <v>2092</v>
      </c>
      <c r="C789" s="74">
        <v>0.69859953703703703</v>
      </c>
      <c r="D789" t="s">
        <v>2107</v>
      </c>
      <c r="E789">
        <v>998</v>
      </c>
    </row>
    <row r="790" spans="1:5" hidden="1">
      <c r="A790" t="s">
        <v>2093</v>
      </c>
      <c r="C790" s="74">
        <v>0.69802083333333331</v>
      </c>
      <c r="D790" t="s">
        <v>2107</v>
      </c>
      <c r="E790">
        <v>1119</v>
      </c>
    </row>
    <row r="791" spans="1:5" hidden="1">
      <c r="A791" t="s">
        <v>2094</v>
      </c>
      <c r="C791" s="74">
        <v>0.69796296296296301</v>
      </c>
      <c r="D791" t="s">
        <v>2107</v>
      </c>
      <c r="E791">
        <v>0</v>
      </c>
    </row>
    <row r="792" spans="1:5" hidden="1">
      <c r="A792" t="s">
        <v>2095</v>
      </c>
      <c r="C792" s="74">
        <v>0.69790509259259259</v>
      </c>
      <c r="D792" t="s">
        <v>2107</v>
      </c>
      <c r="E792">
        <v>3600</v>
      </c>
    </row>
    <row r="793" spans="1:5" hidden="1">
      <c r="A793" t="s">
        <v>2096</v>
      </c>
      <c r="C793" s="74">
        <v>0.6978240740740741</v>
      </c>
      <c r="D793" t="s">
        <v>2107</v>
      </c>
      <c r="E793">
        <v>13000</v>
      </c>
    </row>
    <row r="794" spans="1:5" hidden="1">
      <c r="A794" t="s">
        <v>2097</v>
      </c>
      <c r="C794" s="74">
        <v>0.69773148148148145</v>
      </c>
      <c r="D794" t="s">
        <v>2107</v>
      </c>
      <c r="E794">
        <v>1229</v>
      </c>
    </row>
    <row r="795" spans="1:5" hidden="1">
      <c r="A795" t="s">
        <v>2098</v>
      </c>
      <c r="C795" s="74">
        <v>0.69761574074074073</v>
      </c>
      <c r="D795" t="s">
        <v>2107</v>
      </c>
      <c r="E795">
        <v>655</v>
      </c>
    </row>
    <row r="796" spans="1:5" hidden="1">
      <c r="A796" t="s">
        <v>2099</v>
      </c>
      <c r="C796" s="74">
        <v>0.69755787037037043</v>
      </c>
      <c r="D796" t="s">
        <v>2107</v>
      </c>
      <c r="E796">
        <v>6900</v>
      </c>
    </row>
    <row r="797" spans="1:5" hidden="1">
      <c r="A797" t="s">
        <v>2100</v>
      </c>
      <c r="C797" s="74">
        <v>0.69748842592592597</v>
      </c>
      <c r="D797" t="s">
        <v>2107</v>
      </c>
      <c r="E797">
        <v>3300</v>
      </c>
    </row>
    <row r="798" spans="1:5" hidden="1">
      <c r="A798" t="s">
        <v>2101</v>
      </c>
      <c r="C798" s="74">
        <v>0.69738425925925929</v>
      </c>
      <c r="D798" t="s">
        <v>2107</v>
      </c>
      <c r="E798">
        <v>2122</v>
      </c>
    </row>
    <row r="799" spans="1:5" hidden="1">
      <c r="A799" t="s">
        <v>2102</v>
      </c>
      <c r="C799" s="74">
        <v>0.69726851851851857</v>
      </c>
      <c r="D799" t="s">
        <v>2107</v>
      </c>
      <c r="E799">
        <v>2500</v>
      </c>
    </row>
    <row r="800" spans="1:5" hidden="1">
      <c r="A800" t="s">
        <v>2103</v>
      </c>
      <c r="C800" s="74">
        <v>0.69716435185185188</v>
      </c>
      <c r="D800" t="s">
        <v>2107</v>
      </c>
      <c r="E800">
        <v>1012</v>
      </c>
    </row>
    <row r="801" spans="1:5" hidden="1">
      <c r="A801" t="s">
        <v>2104</v>
      </c>
      <c r="C801" s="74">
        <v>0.6970601851851852</v>
      </c>
      <c r="D801" t="s">
        <v>2107</v>
      </c>
      <c r="E801">
        <v>0</v>
      </c>
    </row>
    <row r="802" spans="1:5" hidden="1">
      <c r="A802" t="s">
        <v>2105</v>
      </c>
      <c r="C802" s="74">
        <v>0.69696759259259256</v>
      </c>
      <c r="D802" t="s">
        <v>2107</v>
      </c>
      <c r="E802">
        <v>2999</v>
      </c>
    </row>
    <row r="803" spans="1:5" hidden="1">
      <c r="A803" t="s">
        <v>2106</v>
      </c>
      <c r="C803" s="74">
        <v>0.69682870370370376</v>
      </c>
      <c r="D803" t="s">
        <v>2107</v>
      </c>
      <c r="E803">
        <v>1772</v>
      </c>
    </row>
    <row r="804" spans="1:5" hidden="1">
      <c r="A804" t="s">
        <v>400</v>
      </c>
      <c r="B804">
        <v>11551294</v>
      </c>
      <c r="C804" s="60">
        <v>45923</v>
      </c>
      <c r="D804" t="s">
        <v>1068</v>
      </c>
      <c r="E804">
        <v>925</v>
      </c>
    </row>
    <row r="805" spans="1:5" hidden="1">
      <c r="A805" t="s">
        <v>414</v>
      </c>
      <c r="B805">
        <v>11552352</v>
      </c>
      <c r="C805" s="60">
        <v>45923</v>
      </c>
      <c r="D805" t="s">
        <v>1068</v>
      </c>
      <c r="E805">
        <v>0</v>
      </c>
    </row>
    <row r="806" spans="1:5" hidden="1">
      <c r="A806" t="s">
        <v>422</v>
      </c>
      <c r="B806">
        <v>11552357</v>
      </c>
      <c r="C806" s="60">
        <v>45923</v>
      </c>
      <c r="D806" t="s">
        <v>1068</v>
      </c>
      <c r="E806">
        <v>0</v>
      </c>
    </row>
    <row r="807" spans="1:5" hidden="1">
      <c r="A807" t="s">
        <v>349</v>
      </c>
      <c r="B807">
        <v>11552437</v>
      </c>
      <c r="C807" s="60">
        <v>45923</v>
      </c>
      <c r="D807" t="s">
        <v>1068</v>
      </c>
      <c r="E807">
        <v>829</v>
      </c>
    </row>
    <row r="808" spans="1:5" hidden="1">
      <c r="A808" t="s">
        <v>358</v>
      </c>
      <c r="B808">
        <v>11552501</v>
      </c>
      <c r="C808" s="60">
        <v>45923</v>
      </c>
      <c r="D808" t="s">
        <v>1068</v>
      </c>
      <c r="E808">
        <v>729</v>
      </c>
    </row>
    <row r="809" spans="1:5" hidden="1">
      <c r="A809" t="s">
        <v>420</v>
      </c>
      <c r="B809">
        <v>11552514</v>
      </c>
      <c r="C809" s="60">
        <v>45923</v>
      </c>
      <c r="D809" t="s">
        <v>1068</v>
      </c>
      <c r="E809">
        <v>729</v>
      </c>
    </row>
    <row r="810" spans="1:5" hidden="1">
      <c r="A810" t="s">
        <v>437</v>
      </c>
      <c r="B810">
        <v>11845005</v>
      </c>
      <c r="C810" s="60">
        <v>45923</v>
      </c>
      <c r="D810" t="s">
        <v>1068</v>
      </c>
      <c r="E810">
        <v>1325</v>
      </c>
    </row>
    <row r="811" spans="1:5" hidden="1">
      <c r="A811" t="s">
        <v>366</v>
      </c>
      <c r="B811">
        <v>11867543</v>
      </c>
      <c r="C811" s="60">
        <v>45923</v>
      </c>
      <c r="D811" t="s">
        <v>1068</v>
      </c>
      <c r="E811">
        <v>409</v>
      </c>
    </row>
    <row r="812" spans="1:5" hidden="1">
      <c r="A812" t="s">
        <v>392</v>
      </c>
      <c r="B812">
        <v>11868735</v>
      </c>
      <c r="C812" s="60">
        <v>45923</v>
      </c>
      <c r="D812" t="s">
        <v>1068</v>
      </c>
      <c r="E812">
        <v>1876</v>
      </c>
    </row>
    <row r="813" spans="1:5" hidden="1">
      <c r="A813" t="s">
        <v>362</v>
      </c>
      <c r="B813">
        <v>11868769</v>
      </c>
      <c r="C813" s="60">
        <v>45923</v>
      </c>
      <c r="D813" t="s">
        <v>1068</v>
      </c>
      <c r="E813">
        <v>980</v>
      </c>
    </row>
    <row r="814" spans="1:5" hidden="1">
      <c r="A814" t="s">
        <v>359</v>
      </c>
      <c r="B814">
        <v>11879742</v>
      </c>
      <c r="C814" s="60">
        <v>45923</v>
      </c>
      <c r="D814" t="s">
        <v>1068</v>
      </c>
      <c r="E814">
        <v>801</v>
      </c>
    </row>
    <row r="815" spans="1:5" hidden="1">
      <c r="A815" t="s">
        <v>410</v>
      </c>
      <c r="B815">
        <v>11879817</v>
      </c>
      <c r="C815" s="60">
        <v>45923</v>
      </c>
      <c r="D815" t="s">
        <v>1068</v>
      </c>
      <c r="E815">
        <v>453</v>
      </c>
    </row>
    <row r="816" spans="1:5" hidden="1">
      <c r="A816" t="s">
        <v>348</v>
      </c>
      <c r="B816">
        <v>11880287</v>
      </c>
      <c r="C816" s="60">
        <v>45923</v>
      </c>
      <c r="D816" t="s">
        <v>1068</v>
      </c>
      <c r="E816">
        <v>770</v>
      </c>
    </row>
    <row r="817" spans="1:5" hidden="1">
      <c r="A817" t="s">
        <v>425</v>
      </c>
      <c r="B817">
        <v>11884969</v>
      </c>
      <c r="C817" s="60">
        <v>45923</v>
      </c>
      <c r="D817" t="s">
        <v>1068</v>
      </c>
      <c r="E817">
        <v>0</v>
      </c>
    </row>
    <row r="818" spans="1:5" hidden="1">
      <c r="A818" t="s">
        <v>354</v>
      </c>
      <c r="B818">
        <v>11885581</v>
      </c>
      <c r="C818" s="60">
        <v>45923</v>
      </c>
      <c r="D818" t="s">
        <v>1068</v>
      </c>
      <c r="E818">
        <v>967</v>
      </c>
    </row>
    <row r="819" spans="1:5" hidden="1">
      <c r="A819" t="s">
        <v>398</v>
      </c>
      <c r="B819">
        <v>11886262</v>
      </c>
      <c r="C819" s="60">
        <v>45923</v>
      </c>
      <c r="D819" t="s">
        <v>1068</v>
      </c>
      <c r="E819">
        <v>7480</v>
      </c>
    </row>
    <row r="820" spans="1:5" hidden="1">
      <c r="A820" t="s">
        <v>367</v>
      </c>
      <c r="B820">
        <v>11886610</v>
      </c>
      <c r="C820" s="60">
        <v>45923</v>
      </c>
      <c r="D820" t="s">
        <v>1068</v>
      </c>
      <c r="E820">
        <v>1050</v>
      </c>
    </row>
    <row r="821" spans="1:5" hidden="1">
      <c r="A821" t="s">
        <v>388</v>
      </c>
      <c r="B821">
        <v>11886812</v>
      </c>
      <c r="C821" s="60">
        <v>45923</v>
      </c>
      <c r="D821" t="s">
        <v>1068</v>
      </c>
      <c r="E821">
        <v>663</v>
      </c>
    </row>
    <row r="822" spans="1:5" hidden="1">
      <c r="A822" t="s">
        <v>344</v>
      </c>
      <c r="B822">
        <v>11887355</v>
      </c>
      <c r="C822" s="60">
        <v>45923</v>
      </c>
      <c r="D822" t="s">
        <v>1068</v>
      </c>
      <c r="E822">
        <v>336</v>
      </c>
    </row>
    <row r="823" spans="1:5" hidden="1">
      <c r="A823" t="s">
        <v>419</v>
      </c>
      <c r="B823">
        <v>11887461</v>
      </c>
      <c r="C823" s="60">
        <v>45923</v>
      </c>
      <c r="D823" t="s">
        <v>1068</v>
      </c>
      <c r="E823">
        <v>0</v>
      </c>
    </row>
    <row r="824" spans="1:5" hidden="1">
      <c r="A824" t="s">
        <v>402</v>
      </c>
      <c r="B824">
        <v>11887462</v>
      </c>
      <c r="C824" s="60">
        <v>45923</v>
      </c>
      <c r="D824" t="s">
        <v>1068</v>
      </c>
      <c r="E824">
        <v>464</v>
      </c>
    </row>
    <row r="825" spans="1:5" hidden="1">
      <c r="A825" t="s">
        <v>368</v>
      </c>
      <c r="B825">
        <v>11887725</v>
      </c>
      <c r="C825" s="60">
        <v>45923</v>
      </c>
      <c r="D825" t="s">
        <v>1068</v>
      </c>
      <c r="E825">
        <v>972</v>
      </c>
    </row>
    <row r="826" spans="1:5" hidden="1">
      <c r="A826" t="s">
        <v>352</v>
      </c>
      <c r="B826">
        <v>11887965</v>
      </c>
      <c r="C826" s="60">
        <v>45923</v>
      </c>
      <c r="D826" t="s">
        <v>1068</v>
      </c>
      <c r="E826">
        <v>398</v>
      </c>
    </row>
    <row r="827" spans="1:5" hidden="1">
      <c r="A827" t="s">
        <v>356</v>
      </c>
      <c r="B827">
        <v>11888679</v>
      </c>
      <c r="C827" s="60">
        <v>45923</v>
      </c>
      <c r="D827" t="s">
        <v>1068</v>
      </c>
      <c r="E827">
        <v>0</v>
      </c>
    </row>
    <row r="828" spans="1:5" hidden="1">
      <c r="A828" t="s">
        <v>434</v>
      </c>
      <c r="B828">
        <v>11889088</v>
      </c>
      <c r="C828" s="60">
        <v>45923</v>
      </c>
      <c r="D828" t="s">
        <v>1068</v>
      </c>
      <c r="E828">
        <v>0</v>
      </c>
    </row>
    <row r="829" spans="1:5" hidden="1">
      <c r="A829" t="s">
        <v>357</v>
      </c>
      <c r="B829">
        <v>11889257</v>
      </c>
      <c r="C829" s="60">
        <v>45923</v>
      </c>
      <c r="D829" t="s">
        <v>1068</v>
      </c>
      <c r="E829">
        <v>459</v>
      </c>
    </row>
    <row r="830" spans="1:5" hidden="1">
      <c r="A830" t="s">
        <v>395</v>
      </c>
      <c r="B830">
        <v>11889439</v>
      </c>
      <c r="C830" s="60">
        <v>45923</v>
      </c>
      <c r="D830" t="s">
        <v>1068</v>
      </c>
      <c r="E830">
        <v>0</v>
      </c>
    </row>
    <row r="831" spans="1:5" hidden="1">
      <c r="A831" t="s">
        <v>412</v>
      </c>
      <c r="B831">
        <v>11889580</v>
      </c>
      <c r="C831" s="60">
        <v>45923</v>
      </c>
      <c r="D831" t="s">
        <v>1068</v>
      </c>
      <c r="E831">
        <v>319</v>
      </c>
    </row>
    <row r="832" spans="1:5" hidden="1">
      <c r="A832" t="s">
        <v>351</v>
      </c>
      <c r="B832">
        <v>11890567</v>
      </c>
      <c r="C832" s="60">
        <v>45923</v>
      </c>
      <c r="D832" t="s">
        <v>1068</v>
      </c>
      <c r="E832">
        <v>1179</v>
      </c>
    </row>
    <row r="833" spans="1:5" hidden="1">
      <c r="A833" t="s">
        <v>417</v>
      </c>
      <c r="B833">
        <v>11891094</v>
      </c>
      <c r="C833" s="60">
        <v>45923</v>
      </c>
      <c r="D833" t="s">
        <v>1068</v>
      </c>
      <c r="E833">
        <v>563</v>
      </c>
    </row>
    <row r="834" spans="1:5" hidden="1">
      <c r="A834" t="s">
        <v>427</v>
      </c>
      <c r="B834">
        <v>11891125</v>
      </c>
      <c r="C834" s="60">
        <v>45923</v>
      </c>
      <c r="D834" t="s">
        <v>1068</v>
      </c>
      <c r="E834">
        <v>336</v>
      </c>
    </row>
    <row r="835" spans="1:5" hidden="1">
      <c r="A835" t="s">
        <v>345</v>
      </c>
      <c r="B835">
        <v>11891183</v>
      </c>
      <c r="C835" s="60">
        <v>45923</v>
      </c>
      <c r="D835" t="s">
        <v>1068</v>
      </c>
      <c r="E835">
        <v>509</v>
      </c>
    </row>
    <row r="836" spans="1:5" hidden="1">
      <c r="A836" t="s">
        <v>373</v>
      </c>
      <c r="B836">
        <v>11892136</v>
      </c>
      <c r="C836" s="60">
        <v>45923</v>
      </c>
      <c r="D836" t="s">
        <v>1068</v>
      </c>
      <c r="E836">
        <v>1814</v>
      </c>
    </row>
    <row r="837" spans="1:5" hidden="1">
      <c r="A837" t="s">
        <v>393</v>
      </c>
      <c r="B837">
        <v>11893974</v>
      </c>
      <c r="C837" s="60">
        <v>45923</v>
      </c>
      <c r="D837" t="s">
        <v>1068</v>
      </c>
      <c r="E837">
        <v>728</v>
      </c>
    </row>
    <row r="838" spans="1:5" hidden="1">
      <c r="A838" t="s">
        <v>404</v>
      </c>
      <c r="B838">
        <v>11894713</v>
      </c>
      <c r="C838" s="60">
        <v>45923</v>
      </c>
      <c r="D838" t="s">
        <v>1068</v>
      </c>
      <c r="E838">
        <v>782</v>
      </c>
    </row>
    <row r="839" spans="1:5" hidden="1">
      <c r="A839" t="s">
        <v>403</v>
      </c>
      <c r="B839">
        <v>11895500</v>
      </c>
      <c r="C839" s="60">
        <v>45923</v>
      </c>
      <c r="D839" t="s">
        <v>1068</v>
      </c>
      <c r="E839">
        <v>1202</v>
      </c>
    </row>
    <row r="840" spans="1:5" hidden="1">
      <c r="A840" t="s">
        <v>432</v>
      </c>
      <c r="B840">
        <v>11895858</v>
      </c>
      <c r="C840" s="60">
        <v>45923</v>
      </c>
      <c r="D840" t="s">
        <v>1068</v>
      </c>
      <c r="E840">
        <v>900</v>
      </c>
    </row>
    <row r="841" spans="1:5" hidden="1">
      <c r="A841" t="s">
        <v>369</v>
      </c>
      <c r="B841">
        <v>11896281</v>
      </c>
      <c r="C841" s="60">
        <v>45923</v>
      </c>
      <c r="D841" t="s">
        <v>1068</v>
      </c>
      <c r="E841">
        <v>1029</v>
      </c>
    </row>
    <row r="842" spans="1:5" hidden="1">
      <c r="A842" t="s">
        <v>405</v>
      </c>
      <c r="B842">
        <v>11896332</v>
      </c>
      <c r="C842" s="60">
        <v>45923</v>
      </c>
      <c r="D842" t="s">
        <v>1068</v>
      </c>
      <c r="E842">
        <v>400</v>
      </c>
    </row>
    <row r="843" spans="1:5" hidden="1">
      <c r="A843" t="s">
        <v>421</v>
      </c>
      <c r="B843">
        <v>11896423</v>
      </c>
      <c r="C843" s="60">
        <v>45923</v>
      </c>
      <c r="D843" t="s">
        <v>1068</v>
      </c>
      <c r="E843">
        <v>302</v>
      </c>
    </row>
    <row r="844" spans="1:5" hidden="1">
      <c r="A844" t="s">
        <v>428</v>
      </c>
      <c r="B844">
        <v>11898275</v>
      </c>
      <c r="C844" s="60">
        <v>45923</v>
      </c>
      <c r="D844" t="s">
        <v>1068</v>
      </c>
      <c r="E844">
        <v>0</v>
      </c>
    </row>
    <row r="845" spans="1:5" hidden="1">
      <c r="A845" t="s">
        <v>438</v>
      </c>
      <c r="B845">
        <v>11898475</v>
      </c>
      <c r="C845" s="60">
        <v>45923</v>
      </c>
      <c r="D845" t="s">
        <v>1068</v>
      </c>
      <c r="E845">
        <v>691</v>
      </c>
    </row>
    <row r="846" spans="1:5" hidden="1">
      <c r="A846" t="s">
        <v>382</v>
      </c>
      <c r="B846">
        <v>11899616</v>
      </c>
      <c r="C846" s="60">
        <v>45923</v>
      </c>
      <c r="D846" t="s">
        <v>1068</v>
      </c>
      <c r="E846">
        <v>706</v>
      </c>
    </row>
    <row r="847" spans="1:5" hidden="1">
      <c r="A847" t="s">
        <v>423</v>
      </c>
      <c r="B847">
        <v>11901574</v>
      </c>
      <c r="C847" s="60">
        <v>45923</v>
      </c>
      <c r="D847" t="s">
        <v>1068</v>
      </c>
      <c r="E847">
        <v>820</v>
      </c>
    </row>
    <row r="848" spans="1:5" hidden="1">
      <c r="A848" t="s">
        <v>386</v>
      </c>
      <c r="B848">
        <v>11901936</v>
      </c>
      <c r="C848" s="60">
        <v>45923</v>
      </c>
      <c r="D848" t="s">
        <v>1068</v>
      </c>
      <c r="E848">
        <v>641</v>
      </c>
    </row>
    <row r="849" spans="1:5" hidden="1">
      <c r="A849" t="s">
        <v>389</v>
      </c>
      <c r="B849">
        <v>11903048</v>
      </c>
      <c r="C849" s="60">
        <v>45923</v>
      </c>
      <c r="D849" t="s">
        <v>1068</v>
      </c>
      <c r="E849">
        <v>991</v>
      </c>
    </row>
    <row r="850" spans="1:5" hidden="1">
      <c r="A850" t="s">
        <v>363</v>
      </c>
      <c r="B850">
        <v>11903335</v>
      </c>
      <c r="C850" s="60">
        <v>45923</v>
      </c>
      <c r="D850" t="s">
        <v>1068</v>
      </c>
      <c r="E850">
        <v>1650</v>
      </c>
    </row>
    <row r="851" spans="1:5" hidden="1">
      <c r="A851" t="s">
        <v>390</v>
      </c>
      <c r="B851">
        <v>11904268</v>
      </c>
      <c r="C851" s="60">
        <v>45923</v>
      </c>
      <c r="D851" t="s">
        <v>1068</v>
      </c>
      <c r="E851">
        <v>2202</v>
      </c>
    </row>
    <row r="852" spans="1:5" hidden="1">
      <c r="A852" t="s">
        <v>350</v>
      </c>
      <c r="B852">
        <v>11904748</v>
      </c>
      <c r="C852" s="60">
        <v>45923</v>
      </c>
      <c r="D852" t="s">
        <v>1068</v>
      </c>
      <c r="E852">
        <v>737</v>
      </c>
    </row>
    <row r="853" spans="1:5" hidden="1">
      <c r="A853" t="s">
        <v>380</v>
      </c>
      <c r="B853">
        <v>11907603</v>
      </c>
      <c r="C853" s="60">
        <v>45923</v>
      </c>
      <c r="D853" t="s">
        <v>1068</v>
      </c>
      <c r="E853">
        <v>2644</v>
      </c>
    </row>
    <row r="854" spans="1:5" hidden="1">
      <c r="A854" t="s">
        <v>384</v>
      </c>
      <c r="B854">
        <v>11908499</v>
      </c>
      <c r="C854" s="60">
        <v>45923</v>
      </c>
      <c r="D854" t="s">
        <v>1068</v>
      </c>
      <c r="E854">
        <v>456</v>
      </c>
    </row>
    <row r="855" spans="1:5" hidden="1">
      <c r="A855" t="s">
        <v>381</v>
      </c>
      <c r="B855">
        <v>11913308</v>
      </c>
      <c r="C855" s="60">
        <v>45923</v>
      </c>
      <c r="D855" t="s">
        <v>1068</v>
      </c>
      <c r="E855">
        <v>1474</v>
      </c>
    </row>
    <row r="856" spans="1:5" hidden="1">
      <c r="A856" t="s">
        <v>401</v>
      </c>
      <c r="B856">
        <v>60853229</v>
      </c>
      <c r="C856" s="60">
        <v>45923</v>
      </c>
      <c r="D856" t="s">
        <v>1068</v>
      </c>
      <c r="E856">
        <v>9000</v>
      </c>
    </row>
    <row r="857" spans="1:5" hidden="1">
      <c r="A857" t="s">
        <v>340</v>
      </c>
      <c r="B857">
        <v>60867252</v>
      </c>
      <c r="C857" s="60">
        <v>45923</v>
      </c>
      <c r="D857" t="s">
        <v>1068</v>
      </c>
      <c r="E857">
        <v>7000</v>
      </c>
    </row>
    <row r="858" spans="1:5" hidden="1">
      <c r="A858" t="s">
        <v>377</v>
      </c>
      <c r="B858">
        <v>503822647</v>
      </c>
      <c r="C858" s="60">
        <v>45923</v>
      </c>
      <c r="D858" t="s">
        <v>1068</v>
      </c>
      <c r="E858">
        <v>1635</v>
      </c>
    </row>
    <row r="859" spans="1:5" hidden="1">
      <c r="A859" t="s">
        <v>439</v>
      </c>
      <c r="B859">
        <v>503925511</v>
      </c>
      <c r="C859" s="60">
        <v>45923</v>
      </c>
      <c r="D859" t="s">
        <v>1068</v>
      </c>
      <c r="E859">
        <v>1600</v>
      </c>
    </row>
    <row r="860" spans="1:5" hidden="1">
      <c r="A860" t="s">
        <v>406</v>
      </c>
      <c r="B860">
        <v>507253429</v>
      </c>
      <c r="C860" s="60">
        <v>45923</v>
      </c>
      <c r="D860" t="s">
        <v>1068</v>
      </c>
      <c r="E860">
        <v>1800</v>
      </c>
    </row>
    <row r="861" spans="1:5" hidden="1">
      <c r="A861" t="s">
        <v>442</v>
      </c>
      <c r="B861">
        <v>507410535</v>
      </c>
      <c r="C861" s="60">
        <v>45923</v>
      </c>
      <c r="D861" t="s">
        <v>1068</v>
      </c>
      <c r="E861">
        <v>0</v>
      </c>
    </row>
    <row r="862" spans="1:5" hidden="1">
      <c r="A862" t="s">
        <v>378</v>
      </c>
      <c r="B862">
        <v>507413245</v>
      </c>
      <c r="C862" s="60">
        <v>45923</v>
      </c>
      <c r="D862" t="s">
        <v>1068</v>
      </c>
      <c r="E862">
        <v>475</v>
      </c>
    </row>
    <row r="863" spans="1:5" hidden="1">
      <c r="A863" t="s">
        <v>408</v>
      </c>
      <c r="B863">
        <v>507415540</v>
      </c>
      <c r="C863" s="60">
        <v>45923</v>
      </c>
      <c r="D863" t="s">
        <v>1068</v>
      </c>
      <c r="E863">
        <v>1199</v>
      </c>
    </row>
    <row r="864" spans="1:5" hidden="1">
      <c r="A864" t="s">
        <v>383</v>
      </c>
      <c r="B864">
        <v>507555526</v>
      </c>
      <c r="C864" s="60">
        <v>45923</v>
      </c>
      <c r="D864" t="s">
        <v>1068</v>
      </c>
      <c r="E864">
        <v>3500</v>
      </c>
    </row>
    <row r="865" spans="1:5" hidden="1">
      <c r="A865" t="s">
        <v>385</v>
      </c>
      <c r="B865">
        <v>507934551</v>
      </c>
      <c r="C865" s="60">
        <v>45923</v>
      </c>
      <c r="D865" t="s">
        <v>1068</v>
      </c>
      <c r="E865">
        <v>1499</v>
      </c>
    </row>
    <row r="866" spans="1:5" hidden="1">
      <c r="A866" t="s">
        <v>415</v>
      </c>
      <c r="B866">
        <v>509762058</v>
      </c>
      <c r="C866" s="60">
        <v>45923</v>
      </c>
      <c r="D866" t="s">
        <v>1068</v>
      </c>
      <c r="E866">
        <v>1950</v>
      </c>
    </row>
    <row r="867" spans="1:5" hidden="1">
      <c r="A867" t="s">
        <v>361</v>
      </c>
      <c r="B867">
        <v>509829839</v>
      </c>
      <c r="C867" s="60">
        <v>45923</v>
      </c>
      <c r="D867" t="s">
        <v>1068</v>
      </c>
      <c r="E867">
        <v>0</v>
      </c>
    </row>
    <row r="868" spans="1:5" hidden="1">
      <c r="A868" t="s">
        <v>353</v>
      </c>
      <c r="B868">
        <v>509838089</v>
      </c>
      <c r="C868" s="60">
        <v>45923</v>
      </c>
      <c r="D868" t="s">
        <v>1068</v>
      </c>
      <c r="E868">
        <v>2949</v>
      </c>
    </row>
    <row r="869" spans="1:5" hidden="1">
      <c r="A869" t="s">
        <v>370</v>
      </c>
      <c r="B869">
        <v>509853902</v>
      </c>
      <c r="C869" s="60">
        <v>45923</v>
      </c>
      <c r="D869" t="s">
        <v>1068</v>
      </c>
      <c r="E869">
        <v>0</v>
      </c>
    </row>
    <row r="870" spans="1:5" hidden="1">
      <c r="A870" t="s">
        <v>429</v>
      </c>
      <c r="B870">
        <v>509854277</v>
      </c>
      <c r="C870" s="60">
        <v>45923</v>
      </c>
      <c r="D870" t="s">
        <v>1068</v>
      </c>
      <c r="E870">
        <v>2198</v>
      </c>
    </row>
    <row r="871" spans="1:5" hidden="1">
      <c r="A871" t="s">
        <v>440</v>
      </c>
      <c r="B871">
        <v>509869966</v>
      </c>
      <c r="C871" s="60">
        <v>45923</v>
      </c>
      <c r="D871" t="s">
        <v>1068</v>
      </c>
      <c r="E871">
        <v>1585</v>
      </c>
    </row>
    <row r="872" spans="1:5" hidden="1">
      <c r="A872" t="s">
        <v>409</v>
      </c>
      <c r="B872">
        <v>509871726</v>
      </c>
      <c r="C872" s="60">
        <v>45923</v>
      </c>
      <c r="D872" t="s">
        <v>1068</v>
      </c>
      <c r="E872">
        <v>1780</v>
      </c>
    </row>
    <row r="873" spans="1:5" hidden="1">
      <c r="A873" t="s">
        <v>433</v>
      </c>
      <c r="B873">
        <v>509872066</v>
      </c>
      <c r="C873" s="60">
        <v>45923</v>
      </c>
      <c r="D873" t="s">
        <v>1068</v>
      </c>
      <c r="E873">
        <v>1329</v>
      </c>
    </row>
    <row r="874" spans="1:5" hidden="1">
      <c r="A874" t="s">
        <v>441</v>
      </c>
      <c r="B874">
        <v>509873275</v>
      </c>
      <c r="C874" s="60">
        <v>45923</v>
      </c>
      <c r="D874" t="s">
        <v>1068</v>
      </c>
      <c r="E874">
        <v>12000</v>
      </c>
    </row>
    <row r="875" spans="1:5" hidden="1">
      <c r="A875" t="s">
        <v>364</v>
      </c>
      <c r="B875">
        <v>509875269</v>
      </c>
      <c r="C875" s="60">
        <v>45923</v>
      </c>
      <c r="D875" t="s">
        <v>1068</v>
      </c>
      <c r="E875">
        <v>0</v>
      </c>
    </row>
    <row r="876" spans="1:5" hidden="1">
      <c r="A876" t="s">
        <v>413</v>
      </c>
      <c r="B876">
        <v>509901277</v>
      </c>
      <c r="C876" s="60">
        <v>45923</v>
      </c>
      <c r="D876" t="s">
        <v>1068</v>
      </c>
      <c r="E876">
        <v>550</v>
      </c>
    </row>
    <row r="877" spans="1:5" hidden="1">
      <c r="A877" t="s">
        <v>371</v>
      </c>
      <c r="B877">
        <v>510722207</v>
      </c>
      <c r="C877" s="60">
        <v>45923</v>
      </c>
      <c r="D877" t="s">
        <v>1068</v>
      </c>
      <c r="E877">
        <v>1098</v>
      </c>
    </row>
    <row r="878" spans="1:5" hidden="1">
      <c r="A878" t="s">
        <v>435</v>
      </c>
      <c r="B878">
        <v>510728983</v>
      </c>
      <c r="C878" s="60">
        <v>45923</v>
      </c>
      <c r="D878" t="s">
        <v>1068</v>
      </c>
      <c r="E878">
        <v>0</v>
      </c>
    </row>
    <row r="879" spans="1:5" hidden="1">
      <c r="A879" t="s">
        <v>396</v>
      </c>
      <c r="B879">
        <v>510746862</v>
      </c>
      <c r="C879" s="60">
        <v>45923</v>
      </c>
      <c r="D879" t="s">
        <v>1068</v>
      </c>
      <c r="E879">
        <v>1749</v>
      </c>
    </row>
    <row r="880" spans="1:5" hidden="1">
      <c r="A880" t="s">
        <v>342</v>
      </c>
      <c r="B880">
        <v>510747559</v>
      </c>
      <c r="C880" s="60">
        <v>45923</v>
      </c>
      <c r="D880" t="s">
        <v>1068</v>
      </c>
      <c r="E880">
        <v>18500</v>
      </c>
    </row>
    <row r="881" spans="1:5" hidden="1">
      <c r="A881" t="s">
        <v>360</v>
      </c>
      <c r="B881">
        <v>510752432</v>
      </c>
      <c r="C881" s="60">
        <v>45923</v>
      </c>
      <c r="D881" t="s">
        <v>1068</v>
      </c>
      <c r="E881">
        <v>0</v>
      </c>
    </row>
    <row r="882" spans="1:5" hidden="1">
      <c r="A882" t="s">
        <v>355</v>
      </c>
      <c r="B882">
        <v>510752813</v>
      </c>
      <c r="C882" s="60">
        <v>45923</v>
      </c>
      <c r="D882" t="s">
        <v>1068</v>
      </c>
      <c r="E882">
        <v>1173</v>
      </c>
    </row>
    <row r="883" spans="1:5" hidden="1">
      <c r="A883" t="s">
        <v>416</v>
      </c>
      <c r="B883">
        <v>510753859</v>
      </c>
      <c r="C883" s="60">
        <v>45923</v>
      </c>
      <c r="D883" t="s">
        <v>1068</v>
      </c>
      <c r="E883">
        <v>1000</v>
      </c>
    </row>
    <row r="884" spans="1:5" hidden="1">
      <c r="A884" t="s">
        <v>407</v>
      </c>
      <c r="B884">
        <v>510755032</v>
      </c>
      <c r="C884" s="60">
        <v>45923</v>
      </c>
      <c r="D884" t="s">
        <v>1068</v>
      </c>
      <c r="E884">
        <v>4499</v>
      </c>
    </row>
    <row r="885" spans="1:5" hidden="1">
      <c r="A885" t="s">
        <v>376</v>
      </c>
      <c r="B885">
        <v>510757910</v>
      </c>
      <c r="C885" s="60">
        <v>45923</v>
      </c>
      <c r="D885" t="s">
        <v>1068</v>
      </c>
      <c r="E885">
        <v>10999</v>
      </c>
    </row>
    <row r="886" spans="1:5" hidden="1">
      <c r="A886" t="s">
        <v>397</v>
      </c>
      <c r="B886">
        <v>510759674</v>
      </c>
      <c r="C886" s="60">
        <v>45923</v>
      </c>
      <c r="D886" t="s">
        <v>1068</v>
      </c>
      <c r="E886">
        <v>855</v>
      </c>
    </row>
    <row r="887" spans="1:5" hidden="1">
      <c r="A887" t="s">
        <v>347</v>
      </c>
      <c r="B887">
        <v>510762210</v>
      </c>
      <c r="C887" s="60">
        <v>45923</v>
      </c>
      <c r="D887" t="s">
        <v>1068</v>
      </c>
      <c r="E887">
        <v>1195</v>
      </c>
    </row>
    <row r="888" spans="1:5" hidden="1">
      <c r="A888" t="s">
        <v>436</v>
      </c>
      <c r="B888">
        <v>510765272</v>
      </c>
      <c r="C888" s="60">
        <v>45923</v>
      </c>
      <c r="D888" t="s">
        <v>1068</v>
      </c>
      <c r="E888">
        <v>0</v>
      </c>
    </row>
    <row r="889" spans="1:5" hidden="1">
      <c r="A889" t="s">
        <v>424</v>
      </c>
      <c r="B889">
        <v>510766317</v>
      </c>
      <c r="C889" s="60">
        <v>45923</v>
      </c>
      <c r="D889" t="s">
        <v>1068</v>
      </c>
      <c r="E889">
        <v>899</v>
      </c>
    </row>
    <row r="890" spans="1:5" hidden="1">
      <c r="A890" t="s">
        <v>418</v>
      </c>
      <c r="B890">
        <v>510767152</v>
      </c>
      <c r="C890" s="60">
        <v>45923</v>
      </c>
      <c r="D890" t="s">
        <v>1068</v>
      </c>
      <c r="E890">
        <v>1949</v>
      </c>
    </row>
    <row r="891" spans="1:5" hidden="1">
      <c r="A891" t="s">
        <v>375</v>
      </c>
      <c r="B891">
        <v>510767576</v>
      </c>
      <c r="C891" s="60">
        <v>45923</v>
      </c>
      <c r="D891" t="s">
        <v>1068</v>
      </c>
      <c r="E891">
        <v>3000</v>
      </c>
    </row>
    <row r="892" spans="1:5" hidden="1">
      <c r="A892" t="s">
        <v>339</v>
      </c>
      <c r="B892">
        <v>510767596</v>
      </c>
      <c r="C892" s="60">
        <v>45923</v>
      </c>
      <c r="D892" t="s">
        <v>1068</v>
      </c>
      <c r="E892">
        <v>2000</v>
      </c>
    </row>
    <row r="893" spans="1:5" hidden="1">
      <c r="A893" t="s">
        <v>379</v>
      </c>
      <c r="B893">
        <v>510771696</v>
      </c>
      <c r="C893" s="60">
        <v>45923</v>
      </c>
      <c r="D893" t="s">
        <v>1068</v>
      </c>
      <c r="E893">
        <v>3049</v>
      </c>
    </row>
    <row r="894" spans="1:5" hidden="1">
      <c r="A894" t="s">
        <v>387</v>
      </c>
      <c r="B894">
        <v>510772465</v>
      </c>
      <c r="C894" s="60">
        <v>45923</v>
      </c>
      <c r="D894" t="s">
        <v>1068</v>
      </c>
      <c r="E894">
        <v>6199</v>
      </c>
    </row>
    <row r="895" spans="1:5" hidden="1">
      <c r="A895" t="s">
        <v>341</v>
      </c>
      <c r="B895">
        <v>510789583</v>
      </c>
      <c r="C895" s="60">
        <v>45923</v>
      </c>
      <c r="D895" t="s">
        <v>1068</v>
      </c>
      <c r="E895">
        <v>0</v>
      </c>
    </row>
    <row r="896" spans="1:5" hidden="1">
      <c r="A896" t="s">
        <v>374</v>
      </c>
      <c r="B896">
        <v>511865299</v>
      </c>
      <c r="C896" s="60">
        <v>45923</v>
      </c>
      <c r="D896" t="s">
        <v>1068</v>
      </c>
      <c r="E896">
        <v>3490</v>
      </c>
    </row>
    <row r="897" spans="1:5" hidden="1">
      <c r="A897" t="s">
        <v>443</v>
      </c>
      <c r="B897">
        <v>511884445</v>
      </c>
      <c r="C897" s="60">
        <v>45923</v>
      </c>
      <c r="D897" t="s">
        <v>1068</v>
      </c>
      <c r="E897">
        <v>3050</v>
      </c>
    </row>
    <row r="898" spans="1:5" hidden="1">
      <c r="A898" t="s">
        <v>372</v>
      </c>
      <c r="B898">
        <v>511900587</v>
      </c>
      <c r="C898" s="60">
        <v>45923</v>
      </c>
      <c r="D898" t="s">
        <v>1068</v>
      </c>
      <c r="E898">
        <v>2600</v>
      </c>
    </row>
    <row r="899" spans="1:5" hidden="1">
      <c r="A899" t="s">
        <v>411</v>
      </c>
      <c r="B899">
        <v>511905726</v>
      </c>
      <c r="C899" s="60">
        <v>45923</v>
      </c>
      <c r="D899" t="s">
        <v>1068</v>
      </c>
      <c r="E899">
        <v>1600</v>
      </c>
    </row>
    <row r="900" spans="1:5" hidden="1">
      <c r="A900" t="s">
        <v>391</v>
      </c>
      <c r="B900">
        <v>511908346</v>
      </c>
      <c r="C900" s="60">
        <v>45923</v>
      </c>
      <c r="D900" t="s">
        <v>1068</v>
      </c>
      <c r="E900">
        <v>0</v>
      </c>
    </row>
    <row r="901" spans="1:5" hidden="1">
      <c r="A901" t="s">
        <v>426</v>
      </c>
      <c r="B901">
        <v>512336401</v>
      </c>
      <c r="C901" s="60">
        <v>45923</v>
      </c>
      <c r="D901" t="s">
        <v>1068</v>
      </c>
      <c r="E901">
        <v>1599</v>
      </c>
    </row>
    <row r="902" spans="1:5" hidden="1">
      <c r="A902" t="s">
        <v>343</v>
      </c>
      <c r="B902">
        <v>512678439</v>
      </c>
      <c r="C902" s="60">
        <v>45923</v>
      </c>
      <c r="D902" t="s">
        <v>1068</v>
      </c>
      <c r="E902">
        <v>300</v>
      </c>
    </row>
    <row r="903" spans="1:5" hidden="1">
      <c r="A903" t="s">
        <v>346</v>
      </c>
      <c r="B903">
        <v>512680130</v>
      </c>
      <c r="C903" s="60">
        <v>45923</v>
      </c>
      <c r="D903" t="s">
        <v>1068</v>
      </c>
      <c r="E903">
        <v>2398</v>
      </c>
    </row>
    <row r="904" spans="1:5" hidden="1">
      <c r="A904" t="s">
        <v>431</v>
      </c>
      <c r="B904">
        <v>512680982</v>
      </c>
      <c r="C904" s="60">
        <v>45923</v>
      </c>
      <c r="D904" t="s">
        <v>1068</v>
      </c>
      <c r="E904">
        <v>1299</v>
      </c>
    </row>
    <row r="905" spans="1:5" hidden="1">
      <c r="A905" t="s">
        <v>430</v>
      </c>
      <c r="B905">
        <v>512682555</v>
      </c>
      <c r="C905" s="60">
        <v>45923</v>
      </c>
      <c r="D905" t="s">
        <v>1068</v>
      </c>
      <c r="E905">
        <v>2298</v>
      </c>
    </row>
    <row r="906" spans="1:5" hidden="1">
      <c r="A906" t="s">
        <v>365</v>
      </c>
      <c r="B906">
        <v>512682658</v>
      </c>
      <c r="C906" s="60">
        <v>45923</v>
      </c>
      <c r="D906" t="s">
        <v>1068</v>
      </c>
      <c r="E906">
        <v>2298</v>
      </c>
    </row>
    <row r="907" spans="1:5" hidden="1">
      <c r="A907" t="s">
        <v>394</v>
      </c>
      <c r="B907">
        <v>513071164</v>
      </c>
      <c r="C907" s="60">
        <v>45923</v>
      </c>
      <c r="D907" t="s">
        <v>1068</v>
      </c>
      <c r="E907">
        <v>2675</v>
      </c>
    </row>
    <row r="908" spans="1:5" hidden="1">
      <c r="A908" t="s">
        <v>399</v>
      </c>
      <c r="B908">
        <v>513655020</v>
      </c>
      <c r="C908" s="60">
        <v>45923</v>
      </c>
      <c r="D908" t="s">
        <v>1068</v>
      </c>
      <c r="E908">
        <v>1248</v>
      </c>
    </row>
    <row r="909" spans="1:5" hidden="1">
      <c r="A909" t="s">
        <v>496</v>
      </c>
      <c r="B909">
        <v>11551904</v>
      </c>
      <c r="C909" s="60">
        <v>45924</v>
      </c>
      <c r="D909" t="s">
        <v>1068</v>
      </c>
      <c r="E909">
        <v>283</v>
      </c>
    </row>
    <row r="910" spans="1:5" hidden="1">
      <c r="A910" t="s">
        <v>473</v>
      </c>
      <c r="B910">
        <v>11553426</v>
      </c>
      <c r="C910" s="60">
        <v>45924</v>
      </c>
      <c r="D910" t="s">
        <v>1068</v>
      </c>
      <c r="E910">
        <v>803</v>
      </c>
    </row>
    <row r="911" spans="1:5" hidden="1">
      <c r="A911" t="s">
        <v>450</v>
      </c>
      <c r="B911">
        <v>11553453</v>
      </c>
      <c r="C911" s="60">
        <v>45924</v>
      </c>
      <c r="D911" t="s">
        <v>1068</v>
      </c>
      <c r="E911">
        <v>869</v>
      </c>
    </row>
    <row r="912" spans="1:5" hidden="1">
      <c r="A912" t="s">
        <v>468</v>
      </c>
      <c r="B912">
        <v>11739562</v>
      </c>
      <c r="C912" s="60">
        <v>45924</v>
      </c>
      <c r="D912" t="s">
        <v>1068</v>
      </c>
      <c r="E912">
        <v>2569</v>
      </c>
    </row>
    <row r="913" spans="1:5" hidden="1">
      <c r="A913" t="s">
        <v>605</v>
      </c>
      <c r="B913">
        <v>11821813</v>
      </c>
      <c r="C913" s="60">
        <v>45924</v>
      </c>
      <c r="D913" t="s">
        <v>1068</v>
      </c>
      <c r="E913">
        <v>3649</v>
      </c>
    </row>
    <row r="914" spans="1:5" hidden="1">
      <c r="A914" t="s">
        <v>460</v>
      </c>
      <c r="B914">
        <v>11846802</v>
      </c>
      <c r="C914" s="60">
        <v>45924</v>
      </c>
      <c r="D914" t="s">
        <v>1068</v>
      </c>
      <c r="E914">
        <v>1122</v>
      </c>
    </row>
    <row r="915" spans="1:5" hidden="1">
      <c r="A915" t="s">
        <v>503</v>
      </c>
      <c r="B915">
        <v>11856737</v>
      </c>
      <c r="C915" s="60">
        <v>45924</v>
      </c>
      <c r="D915" t="s">
        <v>1068</v>
      </c>
      <c r="E915">
        <v>1338</v>
      </c>
    </row>
    <row r="916" spans="1:5" hidden="1">
      <c r="A916" t="s">
        <v>522</v>
      </c>
      <c r="B916">
        <v>11878787</v>
      </c>
      <c r="C916" s="60">
        <v>45924</v>
      </c>
      <c r="D916" t="s">
        <v>1068</v>
      </c>
      <c r="E916">
        <v>629</v>
      </c>
    </row>
    <row r="917" spans="1:5" hidden="1">
      <c r="A917" t="s">
        <v>489</v>
      </c>
      <c r="B917">
        <v>11879713</v>
      </c>
      <c r="C917" s="60">
        <v>45924</v>
      </c>
      <c r="D917" t="s">
        <v>1068</v>
      </c>
      <c r="E917">
        <v>399</v>
      </c>
    </row>
    <row r="918" spans="1:5" hidden="1">
      <c r="A918" t="s">
        <v>488</v>
      </c>
      <c r="B918">
        <v>11884748</v>
      </c>
      <c r="C918" s="60">
        <v>45924</v>
      </c>
      <c r="D918" t="s">
        <v>1068</v>
      </c>
      <c r="E918">
        <v>0</v>
      </c>
    </row>
    <row r="919" spans="1:5" hidden="1">
      <c r="A919" t="s">
        <v>459</v>
      </c>
      <c r="B919">
        <v>11887094</v>
      </c>
      <c r="C919" s="60">
        <v>45924</v>
      </c>
      <c r="D919" t="s">
        <v>1068</v>
      </c>
      <c r="E919">
        <v>728</v>
      </c>
    </row>
    <row r="920" spans="1:5" hidden="1">
      <c r="A920" t="s">
        <v>494</v>
      </c>
      <c r="B920">
        <v>11888999</v>
      </c>
      <c r="C920" s="60">
        <v>45924</v>
      </c>
      <c r="D920" t="s">
        <v>1068</v>
      </c>
      <c r="E920">
        <v>2501</v>
      </c>
    </row>
    <row r="921" spans="1:5" hidden="1">
      <c r="A921" t="s">
        <v>511</v>
      </c>
      <c r="B921">
        <v>11889017</v>
      </c>
      <c r="C921" s="60">
        <v>45924</v>
      </c>
      <c r="D921" t="s">
        <v>1068</v>
      </c>
      <c r="E921">
        <v>510</v>
      </c>
    </row>
    <row r="922" spans="1:5" hidden="1">
      <c r="A922" t="s">
        <v>474</v>
      </c>
      <c r="B922">
        <v>11891859</v>
      </c>
      <c r="C922" s="60">
        <v>45924</v>
      </c>
      <c r="D922" t="s">
        <v>1068</v>
      </c>
      <c r="E922">
        <v>1080</v>
      </c>
    </row>
    <row r="923" spans="1:5" hidden="1">
      <c r="A923" t="s">
        <v>504</v>
      </c>
      <c r="B923">
        <v>11891991</v>
      </c>
      <c r="C923" s="60">
        <v>45924</v>
      </c>
      <c r="D923" t="s">
        <v>1068</v>
      </c>
      <c r="E923">
        <v>608</v>
      </c>
    </row>
    <row r="924" spans="1:5" hidden="1">
      <c r="A924" t="s">
        <v>528</v>
      </c>
      <c r="B924">
        <v>11892204</v>
      </c>
      <c r="C924" s="60">
        <v>45924</v>
      </c>
      <c r="D924" t="s">
        <v>1068</v>
      </c>
      <c r="E924">
        <v>610</v>
      </c>
    </row>
    <row r="925" spans="1:5" hidden="1">
      <c r="A925" t="s">
        <v>520</v>
      </c>
      <c r="B925">
        <v>11892259</v>
      </c>
      <c r="C925" s="60">
        <v>45924</v>
      </c>
      <c r="D925" t="s">
        <v>1068</v>
      </c>
      <c r="E925">
        <v>7968</v>
      </c>
    </row>
    <row r="926" spans="1:5" hidden="1">
      <c r="A926" t="s">
        <v>472</v>
      </c>
      <c r="B926">
        <v>11892637</v>
      </c>
      <c r="C926" s="60">
        <v>45924</v>
      </c>
      <c r="D926" t="s">
        <v>1068</v>
      </c>
      <c r="E926">
        <v>444</v>
      </c>
    </row>
    <row r="927" spans="1:5" hidden="1">
      <c r="A927" t="s">
        <v>499</v>
      </c>
      <c r="B927">
        <v>11893114</v>
      </c>
      <c r="C927" s="60">
        <v>45924</v>
      </c>
      <c r="D927" t="s">
        <v>1068</v>
      </c>
      <c r="E927">
        <v>615</v>
      </c>
    </row>
    <row r="928" spans="1:5" hidden="1">
      <c r="A928" t="s">
        <v>482</v>
      </c>
      <c r="B928">
        <v>11893856</v>
      </c>
      <c r="C928" s="60">
        <v>45924</v>
      </c>
      <c r="D928" t="s">
        <v>1068</v>
      </c>
      <c r="E928">
        <v>770</v>
      </c>
    </row>
    <row r="929" spans="1:5" hidden="1">
      <c r="A929" t="s">
        <v>524</v>
      </c>
      <c r="B929">
        <v>11894373</v>
      </c>
      <c r="C929" s="60">
        <v>45924</v>
      </c>
      <c r="D929" t="s">
        <v>1068</v>
      </c>
      <c r="E929">
        <v>959</v>
      </c>
    </row>
    <row r="930" spans="1:5" hidden="1">
      <c r="A930" t="s">
        <v>517</v>
      </c>
      <c r="B930">
        <v>11894632</v>
      </c>
      <c r="C930" s="60">
        <v>45924</v>
      </c>
      <c r="D930" t="s">
        <v>1068</v>
      </c>
      <c r="E930">
        <v>2447</v>
      </c>
    </row>
    <row r="931" spans="1:5" hidden="1">
      <c r="A931" t="s">
        <v>508</v>
      </c>
      <c r="B931">
        <v>11894682</v>
      </c>
      <c r="C931" s="60">
        <v>45924</v>
      </c>
      <c r="D931" t="s">
        <v>1068</v>
      </c>
      <c r="E931">
        <v>2640</v>
      </c>
    </row>
    <row r="932" spans="1:5" hidden="1">
      <c r="A932" t="s">
        <v>537</v>
      </c>
      <c r="B932">
        <v>11894711</v>
      </c>
      <c r="C932" s="60">
        <v>45924</v>
      </c>
      <c r="D932" t="s">
        <v>1068</v>
      </c>
      <c r="E932">
        <v>1688</v>
      </c>
    </row>
    <row r="933" spans="1:5" hidden="1">
      <c r="A933" t="s">
        <v>461</v>
      </c>
      <c r="B933">
        <v>11895004</v>
      </c>
      <c r="C933" s="60">
        <v>45924</v>
      </c>
      <c r="D933" t="s">
        <v>1068</v>
      </c>
      <c r="E933">
        <v>710</v>
      </c>
    </row>
    <row r="934" spans="1:5" hidden="1">
      <c r="A934" t="s">
        <v>479</v>
      </c>
      <c r="B934">
        <v>11895434</v>
      </c>
      <c r="C934" s="60">
        <v>45924</v>
      </c>
      <c r="D934" t="s">
        <v>1068</v>
      </c>
      <c r="E934">
        <v>1388</v>
      </c>
    </row>
    <row r="935" spans="1:5" hidden="1">
      <c r="A935" t="s">
        <v>529</v>
      </c>
      <c r="B935">
        <v>11896183</v>
      </c>
      <c r="C935" s="60">
        <v>45924</v>
      </c>
      <c r="D935" t="s">
        <v>1068</v>
      </c>
      <c r="E935">
        <v>875</v>
      </c>
    </row>
    <row r="936" spans="1:5" hidden="1">
      <c r="A936" t="s">
        <v>467</v>
      </c>
      <c r="B936">
        <v>11897148</v>
      </c>
      <c r="C936" s="60">
        <v>45924</v>
      </c>
      <c r="D936" t="s">
        <v>1068</v>
      </c>
      <c r="E936">
        <v>613</v>
      </c>
    </row>
    <row r="937" spans="1:5" hidden="1">
      <c r="A937" t="s">
        <v>505</v>
      </c>
      <c r="B937">
        <v>11897249</v>
      </c>
      <c r="C937" s="60">
        <v>45924</v>
      </c>
      <c r="D937" t="s">
        <v>1068</v>
      </c>
      <c r="E937">
        <v>1572</v>
      </c>
    </row>
    <row r="938" spans="1:5" hidden="1">
      <c r="A938" t="s">
        <v>487</v>
      </c>
      <c r="B938">
        <v>11897725</v>
      </c>
      <c r="C938" s="60">
        <v>45924</v>
      </c>
      <c r="D938" t="s">
        <v>1068</v>
      </c>
      <c r="E938">
        <v>704</v>
      </c>
    </row>
    <row r="939" spans="1:5" hidden="1">
      <c r="A939" t="s">
        <v>448</v>
      </c>
      <c r="B939">
        <v>11897922</v>
      </c>
      <c r="C939" s="60">
        <v>45924</v>
      </c>
      <c r="D939" t="s">
        <v>1068</v>
      </c>
      <c r="E939">
        <v>499</v>
      </c>
    </row>
    <row r="940" spans="1:5" hidden="1">
      <c r="A940" t="s">
        <v>444</v>
      </c>
      <c r="B940">
        <v>11898165</v>
      </c>
      <c r="C940" s="60">
        <v>45924</v>
      </c>
      <c r="D940" t="s">
        <v>1068</v>
      </c>
      <c r="E940">
        <v>554</v>
      </c>
    </row>
    <row r="941" spans="1:5" hidden="1">
      <c r="A941" t="s">
        <v>512</v>
      </c>
      <c r="B941">
        <v>11898426</v>
      </c>
      <c r="C941" s="60">
        <v>45924</v>
      </c>
      <c r="D941" t="s">
        <v>1068</v>
      </c>
      <c r="E941">
        <v>2199</v>
      </c>
    </row>
    <row r="942" spans="1:5" hidden="1">
      <c r="A942" t="s">
        <v>478</v>
      </c>
      <c r="B942">
        <v>11898513</v>
      </c>
      <c r="C942" s="60">
        <v>45924</v>
      </c>
      <c r="D942" t="s">
        <v>1068</v>
      </c>
      <c r="E942">
        <v>724</v>
      </c>
    </row>
    <row r="943" spans="1:5" hidden="1">
      <c r="A943" t="s">
        <v>486</v>
      </c>
      <c r="B943">
        <v>11898577</v>
      </c>
      <c r="C943" s="60">
        <v>45924</v>
      </c>
      <c r="D943" t="s">
        <v>1068</v>
      </c>
      <c r="E943">
        <v>1450</v>
      </c>
    </row>
    <row r="944" spans="1:5" hidden="1">
      <c r="A944" t="s">
        <v>471</v>
      </c>
      <c r="B944">
        <v>11898671</v>
      </c>
      <c r="C944" s="60">
        <v>45924</v>
      </c>
      <c r="D944" t="s">
        <v>1068</v>
      </c>
      <c r="E944">
        <v>880</v>
      </c>
    </row>
    <row r="945" spans="1:5" hidden="1">
      <c r="A945" t="s">
        <v>470</v>
      </c>
      <c r="B945">
        <v>11898835</v>
      </c>
      <c r="C945" s="60">
        <v>45924</v>
      </c>
      <c r="D945" t="s">
        <v>1068</v>
      </c>
      <c r="E945">
        <v>0</v>
      </c>
    </row>
    <row r="946" spans="1:5" hidden="1">
      <c r="A946" t="s">
        <v>501</v>
      </c>
      <c r="B946">
        <v>11900778</v>
      </c>
      <c r="C946" s="60">
        <v>45924</v>
      </c>
      <c r="D946" t="s">
        <v>1068</v>
      </c>
      <c r="E946">
        <v>284</v>
      </c>
    </row>
    <row r="947" spans="1:5" hidden="1">
      <c r="A947" t="s">
        <v>521</v>
      </c>
      <c r="B947">
        <v>11901283</v>
      </c>
      <c r="C947" s="60">
        <v>45924</v>
      </c>
      <c r="D947" t="s">
        <v>1068</v>
      </c>
      <c r="E947">
        <v>1214</v>
      </c>
    </row>
    <row r="948" spans="1:5" hidden="1">
      <c r="A948" t="s">
        <v>483</v>
      </c>
      <c r="B948">
        <v>11901605</v>
      </c>
      <c r="C948" s="60">
        <v>45924</v>
      </c>
      <c r="D948" t="s">
        <v>1068</v>
      </c>
      <c r="E948">
        <v>497</v>
      </c>
    </row>
    <row r="949" spans="1:5" hidden="1">
      <c r="A949" t="s">
        <v>523</v>
      </c>
      <c r="B949">
        <v>11902227</v>
      </c>
      <c r="C949" s="60">
        <v>45924</v>
      </c>
      <c r="D949" t="s">
        <v>1068</v>
      </c>
      <c r="E949">
        <v>949</v>
      </c>
    </row>
    <row r="950" spans="1:5" hidden="1">
      <c r="A950" t="s">
        <v>481</v>
      </c>
      <c r="B950">
        <v>11902930</v>
      </c>
      <c r="C950" s="60">
        <v>45924</v>
      </c>
      <c r="D950" t="s">
        <v>1068</v>
      </c>
      <c r="E950">
        <v>2699</v>
      </c>
    </row>
    <row r="951" spans="1:5" hidden="1">
      <c r="A951" t="s">
        <v>466</v>
      </c>
      <c r="B951">
        <v>11902976</v>
      </c>
      <c r="C951" s="60">
        <v>45924</v>
      </c>
      <c r="D951" t="s">
        <v>1068</v>
      </c>
      <c r="E951">
        <v>1599</v>
      </c>
    </row>
    <row r="952" spans="1:5" hidden="1">
      <c r="A952" t="s">
        <v>495</v>
      </c>
      <c r="B952">
        <v>11903285</v>
      </c>
      <c r="C952" s="60">
        <v>45924</v>
      </c>
      <c r="D952" t="s">
        <v>1068</v>
      </c>
      <c r="E952">
        <v>779</v>
      </c>
    </row>
    <row r="953" spans="1:5" hidden="1">
      <c r="A953" t="s">
        <v>484</v>
      </c>
      <c r="B953">
        <v>11904520</v>
      </c>
      <c r="C953" s="60">
        <v>45924</v>
      </c>
      <c r="D953" t="s">
        <v>1068</v>
      </c>
      <c r="E953">
        <v>740</v>
      </c>
    </row>
    <row r="954" spans="1:5" hidden="1">
      <c r="A954" t="s">
        <v>455</v>
      </c>
      <c r="B954">
        <v>11905046</v>
      </c>
      <c r="C954" s="60">
        <v>45924</v>
      </c>
      <c r="D954" t="s">
        <v>1068</v>
      </c>
      <c r="E954">
        <v>829</v>
      </c>
    </row>
    <row r="955" spans="1:5" hidden="1">
      <c r="A955" t="s">
        <v>519</v>
      </c>
      <c r="B955">
        <v>11908207</v>
      </c>
      <c r="C955" s="60">
        <v>45924</v>
      </c>
      <c r="D955" t="s">
        <v>1068</v>
      </c>
      <c r="E955">
        <v>797</v>
      </c>
    </row>
    <row r="956" spans="1:5" hidden="1">
      <c r="A956" t="s">
        <v>509</v>
      </c>
      <c r="B956">
        <v>11908369</v>
      </c>
      <c r="C956" s="60">
        <v>45924</v>
      </c>
      <c r="D956" t="s">
        <v>1068</v>
      </c>
      <c r="E956">
        <v>609</v>
      </c>
    </row>
    <row r="957" spans="1:5" hidden="1">
      <c r="A957" t="s">
        <v>453</v>
      </c>
      <c r="B957">
        <v>11908670</v>
      </c>
      <c r="C957" s="60">
        <v>45924</v>
      </c>
      <c r="D957" t="s">
        <v>1068</v>
      </c>
      <c r="E957">
        <v>529</v>
      </c>
    </row>
    <row r="958" spans="1:5" hidden="1">
      <c r="A958" t="s">
        <v>464</v>
      </c>
      <c r="B958">
        <v>11909032</v>
      </c>
      <c r="C958" s="60">
        <v>45924</v>
      </c>
      <c r="D958" t="s">
        <v>1068</v>
      </c>
      <c r="E958">
        <v>0</v>
      </c>
    </row>
    <row r="959" spans="1:5" hidden="1">
      <c r="A959" t="s">
        <v>476</v>
      </c>
      <c r="B959">
        <v>11909917</v>
      </c>
      <c r="C959" s="60">
        <v>45924</v>
      </c>
      <c r="D959" t="s">
        <v>1068</v>
      </c>
      <c r="E959">
        <v>0</v>
      </c>
    </row>
    <row r="960" spans="1:5" hidden="1">
      <c r="A960" t="s">
        <v>490</v>
      </c>
      <c r="B960">
        <v>11911477</v>
      </c>
      <c r="C960" s="60">
        <v>45924</v>
      </c>
      <c r="D960" t="s">
        <v>1068</v>
      </c>
      <c r="E960">
        <v>478</v>
      </c>
    </row>
    <row r="961" spans="1:5" hidden="1">
      <c r="A961" t="s">
        <v>513</v>
      </c>
      <c r="B961">
        <v>11912948</v>
      </c>
      <c r="C961" s="60">
        <v>45924</v>
      </c>
      <c r="D961" t="s">
        <v>1068</v>
      </c>
      <c r="E961">
        <v>0</v>
      </c>
    </row>
    <row r="962" spans="1:5" hidden="1">
      <c r="A962" t="s">
        <v>518</v>
      </c>
      <c r="B962">
        <v>60875035</v>
      </c>
      <c r="C962" s="60">
        <v>45924</v>
      </c>
      <c r="D962" t="s">
        <v>1068</v>
      </c>
      <c r="E962">
        <v>2800</v>
      </c>
    </row>
    <row r="963" spans="1:5" hidden="1">
      <c r="A963" t="s">
        <v>477</v>
      </c>
      <c r="B963">
        <v>60876039</v>
      </c>
      <c r="C963" s="60">
        <v>45924</v>
      </c>
      <c r="D963" t="s">
        <v>1068</v>
      </c>
      <c r="E963">
        <v>2450</v>
      </c>
    </row>
    <row r="964" spans="1:5" hidden="1">
      <c r="A964" t="s">
        <v>451</v>
      </c>
      <c r="B964">
        <v>503064960</v>
      </c>
      <c r="C964" s="60">
        <v>45924</v>
      </c>
      <c r="D964" t="s">
        <v>1068</v>
      </c>
      <c r="E964">
        <v>1999</v>
      </c>
    </row>
    <row r="965" spans="1:5" hidden="1">
      <c r="A965" t="s">
        <v>497</v>
      </c>
      <c r="B965">
        <v>503064993</v>
      </c>
      <c r="C965" s="60">
        <v>45924</v>
      </c>
      <c r="D965" t="s">
        <v>1068</v>
      </c>
      <c r="E965">
        <v>1999</v>
      </c>
    </row>
    <row r="966" spans="1:5" hidden="1">
      <c r="A966" t="s">
        <v>534</v>
      </c>
      <c r="B966">
        <v>503748155</v>
      </c>
      <c r="C966" s="60">
        <v>45924</v>
      </c>
      <c r="D966" t="s">
        <v>1068</v>
      </c>
      <c r="E966">
        <v>1250</v>
      </c>
    </row>
    <row r="967" spans="1:5" hidden="1">
      <c r="A967" t="s">
        <v>485</v>
      </c>
      <c r="B967">
        <v>504063817</v>
      </c>
      <c r="C967" s="60">
        <v>45924</v>
      </c>
      <c r="D967" t="s">
        <v>1068</v>
      </c>
      <c r="E967">
        <v>1300</v>
      </c>
    </row>
    <row r="968" spans="1:5" hidden="1">
      <c r="A968" t="s">
        <v>452</v>
      </c>
      <c r="B968">
        <v>504428780</v>
      </c>
      <c r="C968" s="60">
        <v>45924</v>
      </c>
      <c r="D968" t="s">
        <v>1068</v>
      </c>
      <c r="E968">
        <v>640</v>
      </c>
    </row>
    <row r="969" spans="1:5" hidden="1">
      <c r="A969" t="s">
        <v>533</v>
      </c>
      <c r="B969">
        <v>506698858</v>
      </c>
      <c r="C969" s="60">
        <v>45924</v>
      </c>
      <c r="D969" t="s">
        <v>1068</v>
      </c>
      <c r="E969">
        <v>7000</v>
      </c>
    </row>
    <row r="970" spans="1:5" hidden="1">
      <c r="A970" t="s">
        <v>526</v>
      </c>
      <c r="B970">
        <v>506945573</v>
      </c>
      <c r="C970" s="60">
        <v>45924</v>
      </c>
      <c r="D970" t="s">
        <v>1068</v>
      </c>
      <c r="E970">
        <v>3850</v>
      </c>
    </row>
    <row r="971" spans="1:5" hidden="1">
      <c r="A971" t="s">
        <v>498</v>
      </c>
      <c r="B971">
        <v>506946406</v>
      </c>
      <c r="C971" s="60">
        <v>45924</v>
      </c>
      <c r="D971" t="s">
        <v>1068</v>
      </c>
      <c r="E971">
        <v>2998</v>
      </c>
    </row>
    <row r="972" spans="1:5" hidden="1">
      <c r="A972" t="s">
        <v>492</v>
      </c>
      <c r="B972">
        <v>507416384</v>
      </c>
      <c r="C972" s="60">
        <v>45924</v>
      </c>
      <c r="D972" t="s">
        <v>1068</v>
      </c>
      <c r="E972">
        <v>850</v>
      </c>
    </row>
    <row r="973" spans="1:5" hidden="1">
      <c r="A973" t="s">
        <v>447</v>
      </c>
      <c r="B973">
        <v>507556226</v>
      </c>
      <c r="C973" s="60">
        <v>45924</v>
      </c>
      <c r="D973" t="s">
        <v>1068</v>
      </c>
      <c r="E973">
        <v>1500</v>
      </c>
    </row>
    <row r="974" spans="1:5" hidden="1">
      <c r="A974" t="s">
        <v>491</v>
      </c>
      <c r="B974">
        <v>507880050</v>
      </c>
      <c r="C974" s="60">
        <v>45924</v>
      </c>
      <c r="D974" t="s">
        <v>1068</v>
      </c>
      <c r="E974">
        <v>650</v>
      </c>
    </row>
    <row r="975" spans="1:5" hidden="1">
      <c r="A975" t="s">
        <v>456</v>
      </c>
      <c r="B975">
        <v>509767359</v>
      </c>
      <c r="C975" s="60">
        <v>45924</v>
      </c>
      <c r="D975" t="s">
        <v>1068</v>
      </c>
      <c r="E975">
        <v>1950</v>
      </c>
    </row>
    <row r="976" spans="1:5" hidden="1">
      <c r="A976" t="s">
        <v>445</v>
      </c>
      <c r="B976">
        <v>509903543</v>
      </c>
      <c r="C976" s="60">
        <v>45924</v>
      </c>
      <c r="D976" t="s">
        <v>1068</v>
      </c>
      <c r="E976">
        <v>1090</v>
      </c>
    </row>
    <row r="977" spans="1:5" hidden="1">
      <c r="A977" t="s">
        <v>475</v>
      </c>
      <c r="B977">
        <v>509904081</v>
      </c>
      <c r="C977" s="60">
        <v>45924</v>
      </c>
      <c r="D977" t="s">
        <v>1068</v>
      </c>
      <c r="E977">
        <v>1511</v>
      </c>
    </row>
    <row r="978" spans="1:5" hidden="1">
      <c r="A978" t="s">
        <v>465</v>
      </c>
      <c r="B978">
        <v>509904236</v>
      </c>
      <c r="C978" s="60">
        <v>45924</v>
      </c>
      <c r="D978" t="s">
        <v>1068</v>
      </c>
      <c r="E978">
        <v>4321</v>
      </c>
    </row>
    <row r="979" spans="1:5" hidden="1">
      <c r="A979" t="s">
        <v>454</v>
      </c>
      <c r="B979">
        <v>509906941</v>
      </c>
      <c r="C979" s="60">
        <v>45924</v>
      </c>
      <c r="D979" t="s">
        <v>1068</v>
      </c>
      <c r="E979">
        <v>6590</v>
      </c>
    </row>
    <row r="980" spans="1:5" hidden="1">
      <c r="A980" t="s">
        <v>493</v>
      </c>
      <c r="B980">
        <v>509911180</v>
      </c>
      <c r="C980" s="60">
        <v>45924</v>
      </c>
      <c r="D980" t="s">
        <v>1068</v>
      </c>
      <c r="E980">
        <v>3749</v>
      </c>
    </row>
    <row r="981" spans="1:5" hidden="1">
      <c r="A981" t="s">
        <v>527</v>
      </c>
      <c r="B981">
        <v>509912193</v>
      </c>
      <c r="C981" s="60">
        <v>45924</v>
      </c>
      <c r="D981" t="s">
        <v>1068</v>
      </c>
      <c r="E981">
        <v>280</v>
      </c>
    </row>
    <row r="982" spans="1:5" hidden="1">
      <c r="A982" t="s">
        <v>516</v>
      </c>
      <c r="B982">
        <v>509914937</v>
      </c>
      <c r="C982" s="60">
        <v>45924</v>
      </c>
      <c r="D982" t="s">
        <v>1068</v>
      </c>
      <c r="E982">
        <v>6298</v>
      </c>
    </row>
    <row r="983" spans="1:5" hidden="1">
      <c r="A983" t="s">
        <v>458</v>
      </c>
      <c r="B983">
        <v>509919072</v>
      </c>
      <c r="C983" s="60">
        <v>45924</v>
      </c>
      <c r="D983" t="s">
        <v>1068</v>
      </c>
      <c r="E983">
        <v>0</v>
      </c>
    </row>
    <row r="984" spans="1:5" hidden="1">
      <c r="A984" t="s">
        <v>502</v>
      </c>
      <c r="B984">
        <v>509925791</v>
      </c>
      <c r="C984" s="60">
        <v>45924</v>
      </c>
      <c r="D984" t="s">
        <v>1068</v>
      </c>
      <c r="E984">
        <v>2549</v>
      </c>
    </row>
    <row r="985" spans="1:5" hidden="1">
      <c r="A985" t="s">
        <v>514</v>
      </c>
      <c r="B985">
        <v>509928851</v>
      </c>
      <c r="C985" s="60">
        <v>45924</v>
      </c>
      <c r="D985" t="s">
        <v>1068</v>
      </c>
      <c r="E985">
        <v>1210</v>
      </c>
    </row>
    <row r="986" spans="1:5" hidden="1">
      <c r="A986" t="s">
        <v>510</v>
      </c>
      <c r="B986">
        <v>510747223</v>
      </c>
      <c r="C986" s="60">
        <v>45924</v>
      </c>
      <c r="D986" t="s">
        <v>1068</v>
      </c>
      <c r="E986">
        <v>2499</v>
      </c>
    </row>
    <row r="987" spans="1:5" hidden="1">
      <c r="A987" t="s">
        <v>342</v>
      </c>
      <c r="B987">
        <v>510747559</v>
      </c>
      <c r="C987" s="60">
        <v>45924</v>
      </c>
      <c r="D987" t="s">
        <v>1068</v>
      </c>
      <c r="E987">
        <v>18500</v>
      </c>
    </row>
    <row r="988" spans="1:5" hidden="1">
      <c r="A988" t="s">
        <v>530</v>
      </c>
      <c r="B988">
        <v>510763070</v>
      </c>
      <c r="C988" s="60">
        <v>45924</v>
      </c>
      <c r="D988" t="s">
        <v>1068</v>
      </c>
      <c r="E988">
        <v>2043</v>
      </c>
    </row>
    <row r="989" spans="1:5" hidden="1">
      <c r="A989" t="s">
        <v>463</v>
      </c>
      <c r="B989">
        <v>510771462</v>
      </c>
      <c r="C989" s="60">
        <v>45924</v>
      </c>
      <c r="D989" t="s">
        <v>1068</v>
      </c>
      <c r="E989">
        <v>1423.1</v>
      </c>
    </row>
    <row r="990" spans="1:5" hidden="1">
      <c r="A990" t="s">
        <v>507</v>
      </c>
      <c r="B990">
        <v>510774200</v>
      </c>
      <c r="C990" s="60">
        <v>45924</v>
      </c>
      <c r="D990" t="s">
        <v>1068</v>
      </c>
      <c r="E990">
        <v>4639</v>
      </c>
    </row>
    <row r="991" spans="1:5" hidden="1">
      <c r="A991" t="s">
        <v>515</v>
      </c>
      <c r="B991">
        <v>510776895</v>
      </c>
      <c r="C991" s="60">
        <v>45924</v>
      </c>
      <c r="D991" t="s">
        <v>1068</v>
      </c>
      <c r="E991">
        <v>8372</v>
      </c>
    </row>
    <row r="992" spans="1:5" hidden="1">
      <c r="A992" t="s">
        <v>536</v>
      </c>
      <c r="B992">
        <v>510800275</v>
      </c>
      <c r="C992" s="60">
        <v>45924</v>
      </c>
      <c r="D992" t="s">
        <v>1068</v>
      </c>
      <c r="E992">
        <v>4900</v>
      </c>
    </row>
    <row r="993" spans="1:5" hidden="1">
      <c r="A993" t="s">
        <v>457</v>
      </c>
      <c r="B993">
        <v>511848960</v>
      </c>
      <c r="C993" s="60">
        <v>45924</v>
      </c>
      <c r="D993" t="s">
        <v>1068</v>
      </c>
      <c r="E993">
        <v>4799</v>
      </c>
    </row>
    <row r="994" spans="1:5" hidden="1">
      <c r="A994" t="s">
        <v>535</v>
      </c>
      <c r="B994">
        <v>511905406</v>
      </c>
      <c r="C994" s="60">
        <v>45924</v>
      </c>
      <c r="D994" t="s">
        <v>1068</v>
      </c>
      <c r="E994">
        <v>0</v>
      </c>
    </row>
    <row r="995" spans="1:5" hidden="1">
      <c r="A995" t="s">
        <v>506</v>
      </c>
      <c r="B995">
        <v>511906564</v>
      </c>
      <c r="C995" s="60">
        <v>45924</v>
      </c>
      <c r="D995" t="s">
        <v>1068</v>
      </c>
      <c r="E995">
        <v>3200</v>
      </c>
    </row>
    <row r="996" spans="1:5" hidden="1">
      <c r="A996" t="s">
        <v>532</v>
      </c>
      <c r="B996">
        <v>511907784</v>
      </c>
      <c r="C996" s="60">
        <v>45924</v>
      </c>
      <c r="D996" t="s">
        <v>1068</v>
      </c>
      <c r="E996">
        <v>12600</v>
      </c>
    </row>
    <row r="997" spans="1:5" hidden="1">
      <c r="A997" t="s">
        <v>446</v>
      </c>
      <c r="B997">
        <v>511909475</v>
      </c>
      <c r="C997" s="60">
        <v>45924</v>
      </c>
      <c r="D997" t="s">
        <v>1068</v>
      </c>
      <c r="E997">
        <v>0</v>
      </c>
    </row>
    <row r="998" spans="1:5" hidden="1">
      <c r="A998" t="s">
        <v>500</v>
      </c>
      <c r="B998">
        <v>511920044</v>
      </c>
      <c r="C998" s="60">
        <v>45924</v>
      </c>
      <c r="D998" t="s">
        <v>1068</v>
      </c>
      <c r="E998">
        <v>1800</v>
      </c>
    </row>
    <row r="999" spans="1:5" hidden="1">
      <c r="A999" t="s">
        <v>480</v>
      </c>
      <c r="B999">
        <v>512685447</v>
      </c>
      <c r="C999" s="60">
        <v>45924</v>
      </c>
      <c r="D999" t="s">
        <v>1068</v>
      </c>
      <c r="E999">
        <v>2589</v>
      </c>
    </row>
    <row r="1000" spans="1:5" hidden="1">
      <c r="A1000" t="s">
        <v>531</v>
      </c>
      <c r="B1000">
        <v>512954646</v>
      </c>
      <c r="C1000" s="60">
        <v>45924</v>
      </c>
      <c r="D1000" t="s">
        <v>1068</v>
      </c>
      <c r="E1000">
        <v>8500</v>
      </c>
    </row>
    <row r="1001" spans="1:5" hidden="1">
      <c r="A1001" t="s">
        <v>449</v>
      </c>
      <c r="B1001">
        <v>512992832</v>
      </c>
      <c r="C1001" s="60">
        <v>45924</v>
      </c>
      <c r="D1001" t="s">
        <v>1068</v>
      </c>
      <c r="E1001">
        <v>1150</v>
      </c>
    </row>
    <row r="1002" spans="1:5" hidden="1">
      <c r="A1002" t="s">
        <v>525</v>
      </c>
      <c r="B1002">
        <v>513071607</v>
      </c>
      <c r="C1002" s="60">
        <v>45924</v>
      </c>
      <c r="D1002" t="s">
        <v>1068</v>
      </c>
      <c r="E1002">
        <v>2500</v>
      </c>
    </row>
    <row r="1003" spans="1:5" hidden="1">
      <c r="A1003" t="s">
        <v>469</v>
      </c>
      <c r="B1003">
        <v>513538134</v>
      </c>
      <c r="C1003" s="60">
        <v>45924</v>
      </c>
      <c r="D1003" t="s">
        <v>1068</v>
      </c>
      <c r="E1003">
        <v>3100</v>
      </c>
    </row>
    <row r="1004" spans="1:5" hidden="1">
      <c r="A1004" t="s">
        <v>462</v>
      </c>
      <c r="B1004">
        <v>513704415</v>
      </c>
      <c r="C1004" s="60">
        <v>45924</v>
      </c>
      <c r="D1004" t="s">
        <v>1068</v>
      </c>
      <c r="E1004">
        <v>9000</v>
      </c>
    </row>
    <row r="1005" spans="1:5" hidden="1">
      <c r="A1005" t="s">
        <v>716</v>
      </c>
      <c r="B1005" t="s">
        <v>717</v>
      </c>
      <c r="C1005" s="61">
        <v>45925</v>
      </c>
      <c r="D1005" t="s">
        <v>1068</v>
      </c>
      <c r="E1005">
        <v>2800</v>
      </c>
    </row>
    <row r="1006" spans="1:5" hidden="1">
      <c r="A1006" t="s">
        <v>591</v>
      </c>
      <c r="B1006">
        <v>11551901</v>
      </c>
      <c r="C1006" s="60">
        <v>45925</v>
      </c>
      <c r="D1006" t="s">
        <v>604</v>
      </c>
      <c r="E1006">
        <v>773</v>
      </c>
    </row>
    <row r="1007" spans="1:5" hidden="1">
      <c r="A1007" t="s">
        <v>562</v>
      </c>
      <c r="B1007">
        <v>11743870</v>
      </c>
      <c r="C1007" s="60">
        <v>45925</v>
      </c>
      <c r="D1007" t="s">
        <v>604</v>
      </c>
      <c r="E1007">
        <v>1350</v>
      </c>
    </row>
    <row r="1008" spans="1:5" hidden="1">
      <c r="A1008" t="s">
        <v>584</v>
      </c>
      <c r="B1008">
        <v>11880425</v>
      </c>
      <c r="C1008" s="60">
        <v>45925</v>
      </c>
      <c r="D1008" t="s">
        <v>604</v>
      </c>
      <c r="E1008">
        <v>370</v>
      </c>
    </row>
    <row r="1009" spans="1:5" hidden="1">
      <c r="A1009" t="s">
        <v>541</v>
      </c>
      <c r="B1009">
        <v>11882460</v>
      </c>
      <c r="C1009" s="60">
        <v>45925</v>
      </c>
      <c r="D1009" t="s">
        <v>604</v>
      </c>
      <c r="E1009">
        <v>510</v>
      </c>
    </row>
    <row r="1010" spans="1:5" hidden="1">
      <c r="A1010" t="s">
        <v>548</v>
      </c>
      <c r="B1010">
        <v>11885999</v>
      </c>
      <c r="C1010" s="60">
        <v>45925</v>
      </c>
      <c r="D1010" t="s">
        <v>604</v>
      </c>
      <c r="E1010">
        <v>1099</v>
      </c>
    </row>
    <row r="1011" spans="1:5" hidden="1">
      <c r="A1011" t="s">
        <v>549</v>
      </c>
      <c r="B1011">
        <v>11888942</v>
      </c>
      <c r="C1011" s="60">
        <v>45925</v>
      </c>
      <c r="D1011" t="s">
        <v>604</v>
      </c>
      <c r="E1011">
        <v>285</v>
      </c>
    </row>
    <row r="1012" spans="1:5" hidden="1">
      <c r="A1012" t="s">
        <v>560</v>
      </c>
      <c r="B1012">
        <v>11891522</v>
      </c>
      <c r="C1012" s="60">
        <v>45925</v>
      </c>
      <c r="D1012" t="s">
        <v>604</v>
      </c>
      <c r="E1012">
        <v>525</v>
      </c>
    </row>
    <row r="1013" spans="1:5" hidden="1">
      <c r="A1013" t="s">
        <v>545</v>
      </c>
      <c r="B1013">
        <v>11893115</v>
      </c>
      <c r="C1013" s="60">
        <v>45925</v>
      </c>
      <c r="D1013" t="s">
        <v>604</v>
      </c>
      <c r="E1013">
        <v>1008</v>
      </c>
    </row>
    <row r="1014" spans="1:5" hidden="1">
      <c r="A1014" t="s">
        <v>556</v>
      </c>
      <c r="B1014">
        <v>11894275</v>
      </c>
      <c r="C1014" s="60">
        <v>45925</v>
      </c>
      <c r="D1014" t="s">
        <v>604</v>
      </c>
      <c r="E1014">
        <v>828</v>
      </c>
    </row>
    <row r="1015" spans="1:5" hidden="1">
      <c r="A1015" t="s">
        <v>572</v>
      </c>
      <c r="B1015">
        <v>11899035</v>
      </c>
      <c r="C1015" s="60">
        <v>45925</v>
      </c>
      <c r="D1015" t="s">
        <v>604</v>
      </c>
      <c r="E1015">
        <v>509</v>
      </c>
    </row>
    <row r="1016" spans="1:5" hidden="1">
      <c r="A1016" t="s">
        <v>552</v>
      </c>
      <c r="B1016">
        <v>11902011</v>
      </c>
      <c r="C1016" s="60">
        <v>45925</v>
      </c>
      <c r="D1016" t="s">
        <v>604</v>
      </c>
      <c r="E1016">
        <v>327</v>
      </c>
    </row>
    <row r="1017" spans="1:5" hidden="1">
      <c r="A1017" t="s">
        <v>555</v>
      </c>
      <c r="B1017">
        <v>11903025</v>
      </c>
      <c r="C1017" s="60">
        <v>45925</v>
      </c>
      <c r="D1017" t="s">
        <v>604</v>
      </c>
      <c r="E1017">
        <v>1159</v>
      </c>
    </row>
    <row r="1018" spans="1:5" hidden="1">
      <c r="A1018" t="s">
        <v>551</v>
      </c>
      <c r="B1018">
        <v>11903030</v>
      </c>
      <c r="C1018" s="60">
        <v>45925</v>
      </c>
      <c r="D1018" t="s">
        <v>604</v>
      </c>
      <c r="E1018">
        <v>760</v>
      </c>
    </row>
    <row r="1019" spans="1:5" hidden="1">
      <c r="A1019" t="s">
        <v>559</v>
      </c>
      <c r="B1019">
        <v>11903920</v>
      </c>
      <c r="C1019" s="60">
        <v>45925</v>
      </c>
      <c r="D1019" t="s">
        <v>604</v>
      </c>
      <c r="E1019">
        <v>1599</v>
      </c>
    </row>
    <row r="1020" spans="1:5" hidden="1">
      <c r="A1020" t="s">
        <v>568</v>
      </c>
      <c r="B1020">
        <v>11908076</v>
      </c>
      <c r="C1020" s="60">
        <v>45925</v>
      </c>
      <c r="D1020" t="s">
        <v>604</v>
      </c>
      <c r="E1020">
        <v>0</v>
      </c>
    </row>
    <row r="1021" spans="1:5" hidden="1">
      <c r="A1021" t="s">
        <v>544</v>
      </c>
      <c r="B1021">
        <v>11909919</v>
      </c>
      <c r="C1021" s="60">
        <v>45925</v>
      </c>
      <c r="D1021" t="s">
        <v>604</v>
      </c>
      <c r="E1021">
        <v>999</v>
      </c>
    </row>
    <row r="1022" spans="1:5" hidden="1">
      <c r="A1022" t="s">
        <v>557</v>
      </c>
      <c r="B1022">
        <v>11912366</v>
      </c>
      <c r="C1022" s="60">
        <v>45925</v>
      </c>
      <c r="D1022" t="s">
        <v>604</v>
      </c>
      <c r="E1022">
        <v>470</v>
      </c>
    </row>
    <row r="1023" spans="1:5" hidden="1">
      <c r="A1023" t="s">
        <v>577</v>
      </c>
      <c r="B1023">
        <v>11915259</v>
      </c>
      <c r="C1023" s="60">
        <v>45925</v>
      </c>
      <c r="D1023" t="s">
        <v>604</v>
      </c>
      <c r="E1023">
        <v>1643</v>
      </c>
    </row>
    <row r="1024" spans="1:5" hidden="1">
      <c r="A1024" t="s">
        <v>538</v>
      </c>
      <c r="B1024">
        <v>11917612</v>
      </c>
      <c r="C1024" s="60">
        <v>45925</v>
      </c>
      <c r="D1024" t="s">
        <v>604</v>
      </c>
      <c r="E1024">
        <v>18982</v>
      </c>
    </row>
    <row r="1025" spans="1:5" hidden="1">
      <c r="A1025" t="s">
        <v>597</v>
      </c>
      <c r="B1025">
        <v>11918877</v>
      </c>
      <c r="C1025" s="60">
        <v>45925</v>
      </c>
      <c r="D1025" t="s">
        <v>604</v>
      </c>
      <c r="E1025">
        <v>680</v>
      </c>
    </row>
    <row r="1026" spans="1:5" hidden="1">
      <c r="A1026" t="s">
        <v>553</v>
      </c>
      <c r="B1026">
        <v>11919380</v>
      </c>
      <c r="C1026" s="60">
        <v>45925</v>
      </c>
      <c r="D1026" t="s">
        <v>604</v>
      </c>
      <c r="E1026">
        <v>0</v>
      </c>
    </row>
    <row r="1027" spans="1:5" hidden="1">
      <c r="A1027" t="s">
        <v>563</v>
      </c>
      <c r="B1027">
        <v>12100696</v>
      </c>
      <c r="C1027" s="60">
        <v>45925</v>
      </c>
      <c r="D1027" t="s">
        <v>604</v>
      </c>
      <c r="E1027">
        <v>999</v>
      </c>
    </row>
    <row r="1028" spans="1:5" hidden="1">
      <c r="A1028" t="s">
        <v>570</v>
      </c>
      <c r="B1028">
        <v>12100836</v>
      </c>
      <c r="C1028" s="60">
        <v>45925</v>
      </c>
      <c r="D1028" t="s">
        <v>604</v>
      </c>
      <c r="E1028">
        <v>1000</v>
      </c>
    </row>
    <row r="1029" spans="1:5" hidden="1">
      <c r="A1029" t="s">
        <v>543</v>
      </c>
      <c r="B1029">
        <v>12101911</v>
      </c>
      <c r="C1029" s="60">
        <v>45925</v>
      </c>
      <c r="D1029" t="s">
        <v>604</v>
      </c>
      <c r="E1029">
        <v>864</v>
      </c>
    </row>
    <row r="1030" spans="1:5" hidden="1">
      <c r="A1030" t="s">
        <v>567</v>
      </c>
      <c r="B1030">
        <v>12102860</v>
      </c>
      <c r="C1030" s="60">
        <v>45925</v>
      </c>
      <c r="D1030" t="s">
        <v>604</v>
      </c>
      <c r="E1030">
        <v>908</v>
      </c>
    </row>
    <row r="1031" spans="1:5" hidden="1">
      <c r="A1031" t="s">
        <v>539</v>
      </c>
      <c r="B1031">
        <v>12104516</v>
      </c>
      <c r="C1031" s="60">
        <v>45925</v>
      </c>
      <c r="D1031" t="s">
        <v>604</v>
      </c>
      <c r="E1031">
        <v>588</v>
      </c>
    </row>
    <row r="1032" spans="1:5" hidden="1">
      <c r="A1032" t="s">
        <v>566</v>
      </c>
      <c r="B1032">
        <v>60855244</v>
      </c>
      <c r="C1032" s="60">
        <v>45925</v>
      </c>
      <c r="D1032" t="s">
        <v>604</v>
      </c>
      <c r="E1032">
        <v>2500</v>
      </c>
    </row>
    <row r="1033" spans="1:5" hidden="1">
      <c r="A1033" t="s">
        <v>589</v>
      </c>
      <c r="B1033">
        <v>501229771</v>
      </c>
      <c r="C1033" s="60">
        <v>45925</v>
      </c>
      <c r="D1033" t="s">
        <v>604</v>
      </c>
      <c r="E1033">
        <v>6560</v>
      </c>
    </row>
    <row r="1034" spans="1:5" hidden="1">
      <c r="A1034" t="s">
        <v>554</v>
      </c>
      <c r="B1034">
        <v>506697740</v>
      </c>
      <c r="C1034" s="60">
        <v>45925</v>
      </c>
      <c r="D1034" t="s">
        <v>604</v>
      </c>
      <c r="E1034">
        <v>1450</v>
      </c>
    </row>
    <row r="1035" spans="1:5" hidden="1">
      <c r="A1035" t="s">
        <v>576</v>
      </c>
      <c r="B1035">
        <v>506793442</v>
      </c>
      <c r="C1035" s="60">
        <v>45925</v>
      </c>
      <c r="D1035" t="s">
        <v>604</v>
      </c>
      <c r="E1035">
        <v>820</v>
      </c>
    </row>
    <row r="1036" spans="1:5" hidden="1">
      <c r="A1036" t="s">
        <v>600</v>
      </c>
      <c r="B1036">
        <v>506950159</v>
      </c>
      <c r="C1036" s="60">
        <v>45925</v>
      </c>
      <c r="D1036" t="s">
        <v>604</v>
      </c>
      <c r="E1036">
        <v>1179</v>
      </c>
    </row>
    <row r="1037" spans="1:5" hidden="1">
      <c r="A1037" t="s">
        <v>596</v>
      </c>
      <c r="B1037">
        <v>507556618</v>
      </c>
      <c r="C1037" s="60">
        <v>45925</v>
      </c>
      <c r="D1037" t="s">
        <v>604</v>
      </c>
      <c r="E1037">
        <v>4400</v>
      </c>
    </row>
    <row r="1038" spans="1:5" hidden="1">
      <c r="A1038" t="s">
        <v>574</v>
      </c>
      <c r="B1038">
        <v>507915682</v>
      </c>
      <c r="C1038" s="60">
        <v>45925</v>
      </c>
      <c r="D1038" t="s">
        <v>604</v>
      </c>
      <c r="E1038">
        <v>1000</v>
      </c>
    </row>
    <row r="1039" spans="1:5" hidden="1">
      <c r="A1039" t="s">
        <v>578</v>
      </c>
      <c r="B1039">
        <v>508017371</v>
      </c>
      <c r="C1039" s="60">
        <v>45925</v>
      </c>
      <c r="D1039" t="s">
        <v>604</v>
      </c>
      <c r="E1039">
        <v>1999</v>
      </c>
    </row>
    <row r="1040" spans="1:5" hidden="1">
      <c r="A1040" t="s">
        <v>599</v>
      </c>
      <c r="B1040">
        <v>508276181</v>
      </c>
      <c r="C1040" s="60">
        <v>45925</v>
      </c>
      <c r="D1040" t="s">
        <v>604</v>
      </c>
      <c r="E1040">
        <v>1500</v>
      </c>
    </row>
    <row r="1041" spans="1:5" hidden="1">
      <c r="A1041" t="s">
        <v>540</v>
      </c>
      <c r="B1041">
        <v>508285419</v>
      </c>
      <c r="C1041" s="60">
        <v>45925</v>
      </c>
      <c r="D1041" t="s">
        <v>604</v>
      </c>
      <c r="E1041">
        <v>1638</v>
      </c>
    </row>
    <row r="1042" spans="1:5" hidden="1">
      <c r="A1042" t="s">
        <v>585</v>
      </c>
      <c r="B1042">
        <v>509863529</v>
      </c>
      <c r="C1042" s="60">
        <v>45925</v>
      </c>
      <c r="D1042" t="s">
        <v>604</v>
      </c>
      <c r="E1042">
        <v>5400</v>
      </c>
    </row>
    <row r="1043" spans="1:5" hidden="1">
      <c r="A1043" t="s">
        <v>592</v>
      </c>
      <c r="B1043">
        <v>509868146</v>
      </c>
      <c r="C1043" s="60">
        <v>45925</v>
      </c>
      <c r="D1043" t="s">
        <v>604</v>
      </c>
      <c r="E1043">
        <v>8700</v>
      </c>
    </row>
    <row r="1044" spans="1:5" hidden="1">
      <c r="A1044" t="s">
        <v>579</v>
      </c>
      <c r="B1044">
        <v>509878738</v>
      </c>
      <c r="C1044" s="60">
        <v>45925</v>
      </c>
      <c r="D1044" t="s">
        <v>604</v>
      </c>
      <c r="E1044">
        <v>3798</v>
      </c>
    </row>
    <row r="1045" spans="1:5" hidden="1">
      <c r="A1045" t="s">
        <v>542</v>
      </c>
      <c r="B1045">
        <v>509925774</v>
      </c>
      <c r="C1045" s="60">
        <v>45925</v>
      </c>
      <c r="D1045" t="s">
        <v>604</v>
      </c>
      <c r="E1045">
        <v>547</v>
      </c>
    </row>
    <row r="1046" spans="1:5" hidden="1">
      <c r="A1046" t="s">
        <v>590</v>
      </c>
      <c r="B1046">
        <v>509931010</v>
      </c>
      <c r="C1046" s="60">
        <v>45925</v>
      </c>
      <c r="D1046" t="s">
        <v>604</v>
      </c>
      <c r="E1046">
        <v>946</v>
      </c>
    </row>
    <row r="1047" spans="1:5" hidden="1">
      <c r="A1047" t="s">
        <v>598</v>
      </c>
      <c r="B1047">
        <v>509938366</v>
      </c>
      <c r="C1047" s="60">
        <v>45925</v>
      </c>
      <c r="D1047" t="s">
        <v>604</v>
      </c>
      <c r="E1047">
        <v>19900</v>
      </c>
    </row>
    <row r="1048" spans="1:5" hidden="1">
      <c r="A1048" t="s">
        <v>594</v>
      </c>
      <c r="B1048">
        <v>509942113</v>
      </c>
      <c r="C1048" s="60">
        <v>45925</v>
      </c>
      <c r="D1048" t="s">
        <v>604</v>
      </c>
      <c r="E1048">
        <v>0</v>
      </c>
    </row>
    <row r="1049" spans="1:5" hidden="1">
      <c r="A1049" t="s">
        <v>550</v>
      </c>
      <c r="B1049">
        <v>509953112</v>
      </c>
      <c r="C1049" s="60">
        <v>45925</v>
      </c>
      <c r="D1049" t="s">
        <v>604</v>
      </c>
      <c r="E1049">
        <v>882</v>
      </c>
    </row>
    <row r="1050" spans="1:5" hidden="1">
      <c r="A1050" t="s">
        <v>547</v>
      </c>
      <c r="B1050">
        <v>510756178</v>
      </c>
      <c r="C1050" s="60">
        <v>45925</v>
      </c>
      <c r="D1050" t="s">
        <v>604</v>
      </c>
      <c r="E1050">
        <v>5599</v>
      </c>
    </row>
    <row r="1051" spans="1:5" hidden="1">
      <c r="A1051" t="s">
        <v>573</v>
      </c>
      <c r="B1051">
        <v>510777226</v>
      </c>
      <c r="C1051" s="60">
        <v>45925</v>
      </c>
      <c r="D1051" t="s">
        <v>604</v>
      </c>
      <c r="E1051">
        <v>2399</v>
      </c>
    </row>
    <row r="1052" spans="1:5" hidden="1">
      <c r="A1052" t="s">
        <v>593</v>
      </c>
      <c r="B1052">
        <v>510802016</v>
      </c>
      <c r="C1052" s="60">
        <v>45925</v>
      </c>
      <c r="D1052" t="s">
        <v>604</v>
      </c>
      <c r="E1052">
        <v>13999</v>
      </c>
    </row>
    <row r="1053" spans="1:5" hidden="1">
      <c r="A1053" t="s">
        <v>561</v>
      </c>
      <c r="B1053">
        <v>511888951</v>
      </c>
      <c r="C1053" s="60">
        <v>45925</v>
      </c>
      <c r="D1053" t="s">
        <v>604</v>
      </c>
      <c r="E1053">
        <v>0</v>
      </c>
    </row>
    <row r="1054" spans="1:5" hidden="1">
      <c r="A1054" t="s">
        <v>602</v>
      </c>
      <c r="B1054">
        <v>511892569</v>
      </c>
      <c r="C1054" s="60">
        <v>45925</v>
      </c>
      <c r="D1054" t="s">
        <v>604</v>
      </c>
      <c r="E1054">
        <v>6000</v>
      </c>
    </row>
    <row r="1055" spans="1:5" hidden="1">
      <c r="A1055" t="s">
        <v>575</v>
      </c>
      <c r="B1055">
        <v>511900272</v>
      </c>
      <c r="C1055" s="60">
        <v>45925</v>
      </c>
      <c r="D1055" t="s">
        <v>604</v>
      </c>
      <c r="E1055">
        <v>5600</v>
      </c>
    </row>
    <row r="1056" spans="1:5" hidden="1">
      <c r="A1056" t="s">
        <v>588</v>
      </c>
      <c r="B1056">
        <v>511908316</v>
      </c>
      <c r="C1056" s="60">
        <v>45925</v>
      </c>
      <c r="D1056" t="s">
        <v>604</v>
      </c>
      <c r="E1056">
        <v>3000</v>
      </c>
    </row>
    <row r="1057" spans="1:5" hidden="1">
      <c r="A1057" t="s">
        <v>587</v>
      </c>
      <c r="B1057">
        <v>511914179</v>
      </c>
      <c r="C1057" s="60">
        <v>45925</v>
      </c>
      <c r="D1057" t="s">
        <v>604</v>
      </c>
      <c r="E1057">
        <v>2900</v>
      </c>
    </row>
    <row r="1058" spans="1:5" hidden="1">
      <c r="A1058" t="s">
        <v>571</v>
      </c>
      <c r="B1058">
        <v>511922066</v>
      </c>
      <c r="C1058" s="60">
        <v>45925</v>
      </c>
      <c r="D1058" t="s">
        <v>604</v>
      </c>
      <c r="E1058">
        <v>0</v>
      </c>
    </row>
    <row r="1059" spans="1:5" hidden="1">
      <c r="A1059" t="s">
        <v>569</v>
      </c>
      <c r="B1059">
        <v>511924635</v>
      </c>
      <c r="C1059" s="60">
        <v>45925</v>
      </c>
      <c r="D1059" t="s">
        <v>604</v>
      </c>
      <c r="E1059">
        <v>1890</v>
      </c>
    </row>
    <row r="1060" spans="1:5" hidden="1">
      <c r="A1060" t="s">
        <v>558</v>
      </c>
      <c r="B1060">
        <v>511928153</v>
      </c>
      <c r="C1060" s="60">
        <v>45925</v>
      </c>
      <c r="D1060" t="s">
        <v>604</v>
      </c>
      <c r="E1060">
        <v>0</v>
      </c>
    </row>
    <row r="1061" spans="1:5" hidden="1">
      <c r="A1061" t="s">
        <v>580</v>
      </c>
      <c r="B1061">
        <v>511929010</v>
      </c>
      <c r="C1061" s="60">
        <v>45925</v>
      </c>
      <c r="D1061" t="s">
        <v>604</v>
      </c>
      <c r="E1061">
        <v>2500</v>
      </c>
    </row>
    <row r="1062" spans="1:5" hidden="1">
      <c r="A1062" t="s">
        <v>595</v>
      </c>
      <c r="B1062">
        <v>511932623</v>
      </c>
      <c r="C1062" s="60">
        <v>45925</v>
      </c>
      <c r="D1062" t="s">
        <v>604</v>
      </c>
      <c r="E1062">
        <v>2300</v>
      </c>
    </row>
    <row r="1063" spans="1:5" hidden="1">
      <c r="A1063" t="s">
        <v>546</v>
      </c>
      <c r="B1063">
        <v>511932743</v>
      </c>
      <c r="C1063" s="60">
        <v>45925</v>
      </c>
      <c r="D1063" t="s">
        <v>604</v>
      </c>
      <c r="E1063">
        <v>1750</v>
      </c>
    </row>
    <row r="1064" spans="1:5" hidden="1">
      <c r="A1064" t="s">
        <v>583</v>
      </c>
      <c r="B1064">
        <v>512339075</v>
      </c>
      <c r="C1064" s="60">
        <v>45925</v>
      </c>
      <c r="D1064" t="s">
        <v>604</v>
      </c>
      <c r="E1064">
        <v>1599</v>
      </c>
    </row>
    <row r="1065" spans="1:5" hidden="1">
      <c r="A1065" t="s">
        <v>564</v>
      </c>
      <c r="B1065">
        <v>512970750</v>
      </c>
      <c r="C1065" s="60">
        <v>45925</v>
      </c>
      <c r="D1065" t="s">
        <v>604</v>
      </c>
      <c r="E1065">
        <v>4750</v>
      </c>
    </row>
    <row r="1066" spans="1:5" hidden="1">
      <c r="A1066" t="s">
        <v>582</v>
      </c>
      <c r="B1066">
        <v>512992568</v>
      </c>
      <c r="C1066" s="60">
        <v>45925</v>
      </c>
      <c r="D1066" t="s">
        <v>604</v>
      </c>
      <c r="E1066">
        <v>2199</v>
      </c>
    </row>
    <row r="1067" spans="1:5" hidden="1">
      <c r="A1067" t="s">
        <v>586</v>
      </c>
      <c r="B1067">
        <v>513540121</v>
      </c>
      <c r="C1067" s="60">
        <v>45925</v>
      </c>
      <c r="D1067" t="s">
        <v>604</v>
      </c>
      <c r="E1067">
        <v>2499</v>
      </c>
    </row>
    <row r="1068" spans="1:5" hidden="1">
      <c r="A1068" t="s">
        <v>581</v>
      </c>
      <c r="B1068">
        <v>513828576</v>
      </c>
      <c r="C1068" s="60">
        <v>45925</v>
      </c>
      <c r="D1068" t="s">
        <v>604</v>
      </c>
      <c r="E1068">
        <v>2050</v>
      </c>
    </row>
    <row r="1069" spans="1:5" hidden="1">
      <c r="A1069" t="s">
        <v>601</v>
      </c>
      <c r="B1069">
        <v>513828781</v>
      </c>
      <c r="C1069" s="60">
        <v>45925</v>
      </c>
      <c r="D1069" t="s">
        <v>604</v>
      </c>
      <c r="E1069">
        <v>3500</v>
      </c>
    </row>
    <row r="1070" spans="1:5" hidden="1">
      <c r="A1070" t="s">
        <v>565</v>
      </c>
      <c r="B1070">
        <v>513936583</v>
      </c>
      <c r="C1070" s="60">
        <v>45925</v>
      </c>
      <c r="D1070" t="s">
        <v>604</v>
      </c>
      <c r="E1070">
        <v>3290</v>
      </c>
    </row>
    <row r="1071" spans="1:5" hidden="1">
      <c r="A1071" t="s">
        <v>683</v>
      </c>
      <c r="B1071">
        <v>11879471</v>
      </c>
      <c r="C1071" s="61">
        <v>45926</v>
      </c>
      <c r="D1071" t="s">
        <v>715</v>
      </c>
      <c r="E1071">
        <v>678</v>
      </c>
    </row>
    <row r="1072" spans="1:5" hidden="1">
      <c r="A1072" t="s">
        <v>684</v>
      </c>
      <c r="B1072">
        <v>11886787</v>
      </c>
      <c r="C1072" s="61">
        <v>45926</v>
      </c>
      <c r="D1072" t="s">
        <v>715</v>
      </c>
      <c r="E1072">
        <v>0</v>
      </c>
    </row>
    <row r="1073" spans="1:5" hidden="1">
      <c r="A1073" t="s">
        <v>685</v>
      </c>
      <c r="B1073">
        <v>11887504</v>
      </c>
      <c r="C1073" s="61">
        <v>45926</v>
      </c>
      <c r="D1073" t="s">
        <v>715</v>
      </c>
      <c r="E1073">
        <v>1364</v>
      </c>
    </row>
    <row r="1074" spans="1:5" hidden="1">
      <c r="A1074" t="s">
        <v>686</v>
      </c>
      <c r="B1074">
        <v>11888771</v>
      </c>
      <c r="C1074" s="61">
        <v>45926</v>
      </c>
      <c r="D1074" t="s">
        <v>715</v>
      </c>
      <c r="E1074">
        <v>632</v>
      </c>
    </row>
    <row r="1075" spans="1:5" hidden="1">
      <c r="A1075" t="s">
        <v>687</v>
      </c>
      <c r="B1075">
        <v>11893828</v>
      </c>
      <c r="C1075" s="61">
        <v>45926</v>
      </c>
      <c r="D1075" t="s">
        <v>715</v>
      </c>
      <c r="E1075">
        <v>2757</v>
      </c>
    </row>
    <row r="1076" spans="1:5" hidden="1">
      <c r="A1076" t="s">
        <v>655</v>
      </c>
      <c r="B1076">
        <v>11895601</v>
      </c>
      <c r="C1076" s="61">
        <v>45926</v>
      </c>
      <c r="D1076" t="s">
        <v>715</v>
      </c>
      <c r="E1076">
        <v>0</v>
      </c>
    </row>
    <row r="1077" spans="1:5" hidden="1">
      <c r="A1077" t="s">
        <v>688</v>
      </c>
      <c r="B1077">
        <v>11898516</v>
      </c>
      <c r="C1077" s="61">
        <v>45926</v>
      </c>
      <c r="D1077" t="s">
        <v>715</v>
      </c>
      <c r="E1077">
        <v>692</v>
      </c>
    </row>
    <row r="1078" spans="1:5" hidden="1">
      <c r="A1078" t="s">
        <v>608</v>
      </c>
      <c r="B1078">
        <v>11899184</v>
      </c>
      <c r="C1078" s="61">
        <v>45926</v>
      </c>
      <c r="D1078" t="s">
        <v>715</v>
      </c>
      <c r="E1078">
        <v>0</v>
      </c>
    </row>
    <row r="1079" spans="1:5" hidden="1">
      <c r="A1079" t="s">
        <v>707</v>
      </c>
      <c r="B1079">
        <v>11899384</v>
      </c>
      <c r="C1079" s="61">
        <v>45926</v>
      </c>
      <c r="D1079" t="s">
        <v>715</v>
      </c>
      <c r="E1079">
        <v>649</v>
      </c>
    </row>
    <row r="1080" spans="1:5" hidden="1">
      <c r="A1080" t="s">
        <v>689</v>
      </c>
      <c r="B1080">
        <v>11900454</v>
      </c>
      <c r="C1080" s="61">
        <v>45926</v>
      </c>
      <c r="D1080" t="s">
        <v>715</v>
      </c>
      <c r="E1080">
        <v>629</v>
      </c>
    </row>
    <row r="1081" spans="1:5" hidden="1">
      <c r="A1081" t="s">
        <v>714</v>
      </c>
      <c r="B1081">
        <v>11901495</v>
      </c>
      <c r="C1081" s="61">
        <v>45926</v>
      </c>
      <c r="D1081" t="s">
        <v>715</v>
      </c>
      <c r="E1081">
        <v>1828</v>
      </c>
    </row>
    <row r="1082" spans="1:5" hidden="1">
      <c r="A1082" t="s">
        <v>690</v>
      </c>
      <c r="B1082">
        <v>11902186</v>
      </c>
      <c r="C1082" s="61">
        <v>45926</v>
      </c>
      <c r="D1082" t="s">
        <v>715</v>
      </c>
      <c r="E1082">
        <v>366</v>
      </c>
    </row>
    <row r="1083" spans="1:5" hidden="1">
      <c r="A1083" t="s">
        <v>691</v>
      </c>
      <c r="B1083">
        <v>11904092</v>
      </c>
      <c r="C1083" s="61">
        <v>45926</v>
      </c>
      <c r="D1083" t="s">
        <v>715</v>
      </c>
      <c r="E1083">
        <v>659</v>
      </c>
    </row>
    <row r="1084" spans="1:5" hidden="1">
      <c r="A1084" t="s">
        <v>692</v>
      </c>
      <c r="B1084">
        <v>11904847</v>
      </c>
      <c r="C1084" s="61">
        <v>45926</v>
      </c>
      <c r="D1084" t="s">
        <v>715</v>
      </c>
      <c r="E1084">
        <v>1219</v>
      </c>
    </row>
    <row r="1085" spans="1:5" hidden="1">
      <c r="A1085" t="s">
        <v>693</v>
      </c>
      <c r="B1085">
        <v>11904926</v>
      </c>
      <c r="C1085" s="61">
        <v>45926</v>
      </c>
      <c r="D1085" t="s">
        <v>715</v>
      </c>
      <c r="E1085">
        <v>2229</v>
      </c>
    </row>
    <row r="1086" spans="1:5" hidden="1">
      <c r="A1086" t="s">
        <v>694</v>
      </c>
      <c r="B1086">
        <v>11906904</v>
      </c>
      <c r="C1086" s="61">
        <v>45926</v>
      </c>
      <c r="D1086" t="s">
        <v>715</v>
      </c>
      <c r="E1086">
        <v>925</v>
      </c>
    </row>
    <row r="1087" spans="1:5" hidden="1">
      <c r="A1087" t="s">
        <v>695</v>
      </c>
      <c r="B1087">
        <v>11907898</v>
      </c>
      <c r="C1087" s="61">
        <v>45926</v>
      </c>
      <c r="D1087" t="s">
        <v>715</v>
      </c>
      <c r="E1087">
        <v>529</v>
      </c>
    </row>
    <row r="1088" spans="1:5" hidden="1">
      <c r="A1088" t="s">
        <v>656</v>
      </c>
      <c r="B1088">
        <v>11908574</v>
      </c>
      <c r="C1088" s="61">
        <v>45926</v>
      </c>
      <c r="D1088" t="s">
        <v>715</v>
      </c>
      <c r="E1088">
        <v>1047</v>
      </c>
    </row>
    <row r="1089" spans="1:5" hidden="1">
      <c r="A1089" t="s">
        <v>657</v>
      </c>
      <c r="B1089">
        <v>11909046</v>
      </c>
      <c r="C1089" s="61">
        <v>45926</v>
      </c>
      <c r="D1089" t="s">
        <v>715</v>
      </c>
      <c r="E1089">
        <v>465</v>
      </c>
    </row>
    <row r="1090" spans="1:5" hidden="1">
      <c r="A1090" t="s">
        <v>696</v>
      </c>
      <c r="B1090">
        <v>11909199</v>
      </c>
      <c r="C1090" s="61">
        <v>45926</v>
      </c>
      <c r="D1090" t="s">
        <v>715</v>
      </c>
      <c r="E1090">
        <v>556</v>
      </c>
    </row>
    <row r="1091" spans="1:5" hidden="1">
      <c r="A1091" t="s">
        <v>697</v>
      </c>
      <c r="B1091">
        <v>11909480</v>
      </c>
      <c r="C1091" s="61">
        <v>45926</v>
      </c>
      <c r="D1091" t="s">
        <v>715</v>
      </c>
      <c r="E1091">
        <v>905</v>
      </c>
    </row>
    <row r="1092" spans="1:5" hidden="1">
      <c r="A1092" t="s">
        <v>658</v>
      </c>
      <c r="B1092">
        <v>11910021</v>
      </c>
      <c r="C1092" s="61">
        <v>45926</v>
      </c>
      <c r="D1092" t="s">
        <v>715</v>
      </c>
      <c r="E1092">
        <v>448</v>
      </c>
    </row>
    <row r="1093" spans="1:5" hidden="1">
      <c r="A1093" t="s">
        <v>698</v>
      </c>
      <c r="B1093">
        <v>11911394</v>
      </c>
      <c r="C1093" s="61">
        <v>45926</v>
      </c>
      <c r="D1093" t="s">
        <v>715</v>
      </c>
      <c r="E1093">
        <v>880</v>
      </c>
    </row>
    <row r="1094" spans="1:5" hidden="1">
      <c r="A1094" t="s">
        <v>699</v>
      </c>
      <c r="B1094">
        <v>11911474</v>
      </c>
      <c r="C1094" s="61">
        <v>45926</v>
      </c>
      <c r="D1094" t="s">
        <v>715</v>
      </c>
      <c r="E1094">
        <v>879</v>
      </c>
    </row>
    <row r="1095" spans="1:5" hidden="1">
      <c r="A1095" t="s">
        <v>659</v>
      </c>
      <c r="B1095">
        <v>11911739</v>
      </c>
      <c r="C1095" s="61">
        <v>45926</v>
      </c>
      <c r="D1095" t="s">
        <v>715</v>
      </c>
      <c r="E1095">
        <v>540</v>
      </c>
    </row>
    <row r="1096" spans="1:5" hidden="1">
      <c r="A1096" t="s">
        <v>700</v>
      </c>
      <c r="B1096">
        <v>11911995</v>
      </c>
      <c r="C1096" s="61">
        <v>45926</v>
      </c>
      <c r="D1096" t="s">
        <v>715</v>
      </c>
      <c r="E1096">
        <v>387</v>
      </c>
    </row>
    <row r="1097" spans="1:5" hidden="1">
      <c r="A1097" t="s">
        <v>701</v>
      </c>
      <c r="B1097">
        <v>11912034</v>
      </c>
      <c r="C1097" s="61">
        <v>45926</v>
      </c>
      <c r="D1097" t="s">
        <v>715</v>
      </c>
      <c r="E1097">
        <v>963</v>
      </c>
    </row>
    <row r="1098" spans="1:5" hidden="1">
      <c r="A1098" t="s">
        <v>702</v>
      </c>
      <c r="B1098">
        <v>11912037</v>
      </c>
      <c r="C1098" s="61">
        <v>45926</v>
      </c>
      <c r="D1098" t="s">
        <v>715</v>
      </c>
      <c r="E1098">
        <v>759</v>
      </c>
    </row>
    <row r="1099" spans="1:5" hidden="1">
      <c r="A1099" t="s">
        <v>703</v>
      </c>
      <c r="B1099">
        <v>11912058</v>
      </c>
      <c r="C1099" s="61">
        <v>45926</v>
      </c>
      <c r="D1099" t="s">
        <v>715</v>
      </c>
      <c r="E1099">
        <v>0</v>
      </c>
    </row>
    <row r="1100" spans="1:5" hidden="1">
      <c r="A1100" t="s">
        <v>660</v>
      </c>
      <c r="B1100">
        <v>11914001</v>
      </c>
      <c r="C1100" s="61">
        <v>45926</v>
      </c>
      <c r="D1100" t="s">
        <v>715</v>
      </c>
      <c r="E1100">
        <v>574</v>
      </c>
    </row>
    <row r="1101" spans="1:5" hidden="1">
      <c r="A1101" t="s">
        <v>661</v>
      </c>
      <c r="B1101">
        <v>11914270</v>
      </c>
      <c r="C1101" s="61">
        <v>45926</v>
      </c>
      <c r="D1101" t="s">
        <v>715</v>
      </c>
      <c r="E1101">
        <v>1468</v>
      </c>
    </row>
    <row r="1102" spans="1:5" hidden="1">
      <c r="A1102" t="s">
        <v>662</v>
      </c>
      <c r="B1102">
        <v>11915656</v>
      </c>
      <c r="C1102" s="61">
        <v>45926</v>
      </c>
      <c r="D1102" t="s">
        <v>715</v>
      </c>
      <c r="E1102">
        <v>329</v>
      </c>
    </row>
    <row r="1103" spans="1:5" hidden="1">
      <c r="A1103" t="s">
        <v>663</v>
      </c>
      <c r="B1103">
        <v>11915735</v>
      </c>
      <c r="C1103" s="61">
        <v>45926</v>
      </c>
      <c r="D1103" t="s">
        <v>715</v>
      </c>
      <c r="E1103">
        <v>679</v>
      </c>
    </row>
    <row r="1104" spans="1:5" hidden="1">
      <c r="A1104" t="s">
        <v>664</v>
      </c>
      <c r="B1104">
        <v>11915736</v>
      </c>
      <c r="C1104" s="61">
        <v>45926</v>
      </c>
      <c r="D1104" t="s">
        <v>715</v>
      </c>
      <c r="E1104">
        <v>679</v>
      </c>
    </row>
    <row r="1105" spans="1:5" hidden="1">
      <c r="A1105" t="s">
        <v>665</v>
      </c>
      <c r="B1105">
        <v>11915737</v>
      </c>
      <c r="C1105" s="61">
        <v>45926</v>
      </c>
      <c r="D1105" t="s">
        <v>715</v>
      </c>
      <c r="E1105">
        <v>679</v>
      </c>
    </row>
    <row r="1106" spans="1:5" hidden="1">
      <c r="A1106" t="s">
        <v>666</v>
      </c>
      <c r="B1106">
        <v>11916512</v>
      </c>
      <c r="C1106" s="61">
        <v>45926</v>
      </c>
      <c r="D1106" t="s">
        <v>715</v>
      </c>
      <c r="E1106">
        <v>0</v>
      </c>
    </row>
    <row r="1107" spans="1:5" hidden="1">
      <c r="A1107" t="s">
        <v>667</v>
      </c>
      <c r="B1107">
        <v>11916990</v>
      </c>
      <c r="C1107" s="61">
        <v>45926</v>
      </c>
      <c r="D1107" t="s">
        <v>715</v>
      </c>
      <c r="E1107">
        <v>740</v>
      </c>
    </row>
    <row r="1108" spans="1:5" hidden="1">
      <c r="A1108" t="s">
        <v>625</v>
      </c>
      <c r="B1108">
        <v>11917101</v>
      </c>
      <c r="C1108" s="61">
        <v>45926</v>
      </c>
      <c r="D1108" t="s">
        <v>715</v>
      </c>
      <c r="E1108">
        <v>0</v>
      </c>
    </row>
    <row r="1109" spans="1:5" hidden="1">
      <c r="A1109" t="s">
        <v>618</v>
      </c>
      <c r="B1109">
        <v>11917654</v>
      </c>
      <c r="C1109" s="61">
        <v>45926</v>
      </c>
      <c r="D1109" t="s">
        <v>715</v>
      </c>
      <c r="E1109">
        <v>580</v>
      </c>
    </row>
    <row r="1110" spans="1:5" hidden="1">
      <c r="A1110" t="s">
        <v>668</v>
      </c>
      <c r="B1110">
        <v>11918589</v>
      </c>
      <c r="C1110" s="61">
        <v>45926</v>
      </c>
      <c r="D1110" t="s">
        <v>715</v>
      </c>
      <c r="E1110">
        <v>730</v>
      </c>
    </row>
    <row r="1111" spans="1:5" hidden="1">
      <c r="A1111" t="s">
        <v>669</v>
      </c>
      <c r="B1111">
        <v>11918704</v>
      </c>
      <c r="C1111" s="61">
        <v>45926</v>
      </c>
      <c r="D1111" t="s">
        <v>715</v>
      </c>
      <c r="E1111">
        <v>599</v>
      </c>
    </row>
    <row r="1112" spans="1:5" hidden="1">
      <c r="A1112" t="s">
        <v>670</v>
      </c>
      <c r="B1112">
        <v>11918888</v>
      </c>
      <c r="C1112" s="61">
        <v>45926</v>
      </c>
      <c r="D1112" t="s">
        <v>715</v>
      </c>
      <c r="E1112">
        <v>605</v>
      </c>
    </row>
    <row r="1113" spans="1:5" hidden="1">
      <c r="A1113" t="s">
        <v>671</v>
      </c>
      <c r="B1113">
        <v>11918986</v>
      </c>
      <c r="C1113" s="61">
        <v>45926</v>
      </c>
      <c r="D1113" t="s">
        <v>715</v>
      </c>
      <c r="E1113">
        <v>1431</v>
      </c>
    </row>
    <row r="1114" spans="1:5" hidden="1">
      <c r="A1114" t="s">
        <v>672</v>
      </c>
      <c r="B1114">
        <v>11919068</v>
      </c>
      <c r="C1114" s="61">
        <v>45926</v>
      </c>
      <c r="D1114" t="s">
        <v>715</v>
      </c>
      <c r="E1114">
        <v>753</v>
      </c>
    </row>
    <row r="1115" spans="1:5" hidden="1">
      <c r="A1115" t="s">
        <v>673</v>
      </c>
      <c r="B1115">
        <v>11919362</v>
      </c>
      <c r="C1115" s="61">
        <v>45926</v>
      </c>
      <c r="D1115" t="s">
        <v>715</v>
      </c>
      <c r="E1115">
        <v>0</v>
      </c>
    </row>
    <row r="1116" spans="1:5" hidden="1">
      <c r="A1116" t="s">
        <v>674</v>
      </c>
      <c r="B1116">
        <v>12102810</v>
      </c>
      <c r="C1116" s="61">
        <v>45926</v>
      </c>
      <c r="D1116" t="s">
        <v>715</v>
      </c>
      <c r="E1116">
        <v>6355</v>
      </c>
    </row>
    <row r="1117" spans="1:5" hidden="1">
      <c r="A1117" t="s">
        <v>619</v>
      </c>
      <c r="B1117">
        <v>12104314</v>
      </c>
      <c r="C1117" s="61">
        <v>45926</v>
      </c>
      <c r="D1117" t="s">
        <v>715</v>
      </c>
      <c r="E1117">
        <v>0</v>
      </c>
    </row>
    <row r="1118" spans="1:5" hidden="1">
      <c r="A1118" t="s">
        <v>620</v>
      </c>
      <c r="B1118">
        <v>12104673</v>
      </c>
      <c r="C1118" s="61">
        <v>45926</v>
      </c>
      <c r="D1118" t="s">
        <v>715</v>
      </c>
      <c r="E1118">
        <v>1067</v>
      </c>
    </row>
    <row r="1119" spans="1:5" hidden="1">
      <c r="A1119" t="s">
        <v>627</v>
      </c>
      <c r="B1119">
        <v>12105504</v>
      </c>
      <c r="C1119" s="61">
        <v>45926</v>
      </c>
      <c r="D1119" t="s">
        <v>715</v>
      </c>
      <c r="E1119">
        <v>2469</v>
      </c>
    </row>
    <row r="1120" spans="1:5" hidden="1">
      <c r="A1120" t="s">
        <v>628</v>
      </c>
      <c r="B1120">
        <v>12105980</v>
      </c>
      <c r="C1120" s="61">
        <v>45926</v>
      </c>
      <c r="D1120" t="s">
        <v>715</v>
      </c>
      <c r="E1120">
        <v>1581</v>
      </c>
    </row>
    <row r="1121" spans="1:5" hidden="1">
      <c r="A1121" t="s">
        <v>708</v>
      </c>
      <c r="B1121">
        <v>12106891</v>
      </c>
      <c r="C1121" s="61">
        <v>45926</v>
      </c>
      <c r="D1121" t="s">
        <v>715</v>
      </c>
      <c r="E1121">
        <v>787</v>
      </c>
    </row>
    <row r="1122" spans="1:5" hidden="1">
      <c r="A1122" t="s">
        <v>629</v>
      </c>
      <c r="B1122">
        <v>12108216</v>
      </c>
      <c r="C1122" s="61">
        <v>45926</v>
      </c>
      <c r="D1122" t="s">
        <v>715</v>
      </c>
      <c r="E1122">
        <v>0</v>
      </c>
    </row>
    <row r="1123" spans="1:5" hidden="1">
      <c r="A1123" t="s">
        <v>621</v>
      </c>
      <c r="B1123">
        <v>12110625</v>
      </c>
      <c r="C1123" s="61">
        <v>45926</v>
      </c>
      <c r="D1123" t="s">
        <v>715</v>
      </c>
      <c r="E1123">
        <v>489</v>
      </c>
    </row>
    <row r="1124" spans="1:5" hidden="1">
      <c r="A1124" t="s">
        <v>622</v>
      </c>
      <c r="B1124">
        <v>12112276</v>
      </c>
      <c r="C1124" s="61">
        <v>45926</v>
      </c>
      <c r="D1124" t="s">
        <v>715</v>
      </c>
      <c r="E1124">
        <v>0</v>
      </c>
    </row>
    <row r="1125" spans="1:5" hidden="1">
      <c r="A1125" t="s">
        <v>632</v>
      </c>
      <c r="B1125">
        <v>500665545</v>
      </c>
      <c r="C1125" s="61">
        <v>45926</v>
      </c>
      <c r="D1125" t="s">
        <v>715</v>
      </c>
      <c r="E1125">
        <v>1999</v>
      </c>
    </row>
    <row r="1126" spans="1:5" hidden="1">
      <c r="A1126" t="s">
        <v>633</v>
      </c>
      <c r="B1126">
        <v>500665840</v>
      </c>
      <c r="C1126" s="61">
        <v>45926</v>
      </c>
      <c r="D1126" t="s">
        <v>715</v>
      </c>
      <c r="E1126">
        <v>999</v>
      </c>
    </row>
    <row r="1127" spans="1:5" hidden="1">
      <c r="A1127" t="s">
        <v>634</v>
      </c>
      <c r="B1127">
        <v>500668381</v>
      </c>
      <c r="C1127" s="61">
        <v>45926</v>
      </c>
      <c r="D1127" t="s">
        <v>715</v>
      </c>
      <c r="E1127">
        <v>999</v>
      </c>
    </row>
    <row r="1128" spans="1:5" hidden="1">
      <c r="A1128" t="s">
        <v>609</v>
      </c>
      <c r="B1128">
        <v>502771691</v>
      </c>
      <c r="C1128" s="61">
        <v>45926</v>
      </c>
      <c r="D1128" t="s">
        <v>715</v>
      </c>
      <c r="E1128">
        <v>1720</v>
      </c>
    </row>
    <row r="1129" spans="1:5" hidden="1">
      <c r="A1129" t="s">
        <v>630</v>
      </c>
      <c r="B1129">
        <v>504339279</v>
      </c>
      <c r="C1129" s="61">
        <v>45926</v>
      </c>
      <c r="D1129" t="s">
        <v>715</v>
      </c>
      <c r="E1129">
        <v>6050</v>
      </c>
    </row>
    <row r="1130" spans="1:5" hidden="1">
      <c r="A1130" t="s">
        <v>623</v>
      </c>
      <c r="B1130">
        <v>506780549</v>
      </c>
      <c r="C1130" s="61">
        <v>45926</v>
      </c>
      <c r="D1130" t="s">
        <v>715</v>
      </c>
      <c r="E1130">
        <v>3150</v>
      </c>
    </row>
    <row r="1131" spans="1:5" hidden="1">
      <c r="A1131" t="s">
        <v>624</v>
      </c>
      <c r="B1131">
        <v>506781755</v>
      </c>
      <c r="C1131" s="61">
        <v>45926</v>
      </c>
      <c r="D1131" t="s">
        <v>715</v>
      </c>
      <c r="E1131">
        <v>0</v>
      </c>
    </row>
    <row r="1132" spans="1:5" hidden="1">
      <c r="A1132" t="s">
        <v>710</v>
      </c>
      <c r="B1132">
        <v>507258129</v>
      </c>
      <c r="C1132" s="61">
        <v>45926</v>
      </c>
      <c r="D1132" t="s">
        <v>715</v>
      </c>
      <c r="E1132">
        <v>2700</v>
      </c>
    </row>
    <row r="1133" spans="1:5" hidden="1">
      <c r="A1133" t="s">
        <v>711</v>
      </c>
      <c r="B1133">
        <v>507259095</v>
      </c>
      <c r="C1133" s="61">
        <v>45926</v>
      </c>
      <c r="D1133" t="s">
        <v>715</v>
      </c>
      <c r="E1133">
        <v>3790</v>
      </c>
    </row>
    <row r="1134" spans="1:5" hidden="1">
      <c r="A1134" t="s">
        <v>712</v>
      </c>
      <c r="B1134">
        <v>507259247</v>
      </c>
      <c r="C1134" s="61">
        <v>45926</v>
      </c>
      <c r="D1134" t="s">
        <v>715</v>
      </c>
      <c r="E1134">
        <v>2550</v>
      </c>
    </row>
    <row r="1135" spans="1:5" hidden="1">
      <c r="A1135" t="s">
        <v>610</v>
      </c>
      <c r="B1135">
        <v>507834207</v>
      </c>
      <c r="C1135" s="61">
        <v>45926</v>
      </c>
      <c r="D1135" t="s">
        <v>715</v>
      </c>
      <c r="E1135">
        <v>1699</v>
      </c>
    </row>
    <row r="1136" spans="1:5" hidden="1">
      <c r="A1136" t="s">
        <v>676</v>
      </c>
      <c r="B1136">
        <v>508276868</v>
      </c>
      <c r="C1136" s="61">
        <v>45926</v>
      </c>
      <c r="D1136" t="s">
        <v>715</v>
      </c>
      <c r="E1136">
        <v>2750</v>
      </c>
    </row>
    <row r="1137" spans="1:5" hidden="1">
      <c r="A1137" t="s">
        <v>677</v>
      </c>
      <c r="B1137">
        <v>508278663</v>
      </c>
      <c r="C1137" s="61">
        <v>45926</v>
      </c>
      <c r="D1137" t="s">
        <v>715</v>
      </c>
      <c r="E1137">
        <v>2650</v>
      </c>
    </row>
    <row r="1138" spans="1:5" hidden="1">
      <c r="A1138" t="s">
        <v>678</v>
      </c>
      <c r="B1138">
        <v>508282321</v>
      </c>
      <c r="C1138" s="61">
        <v>45926</v>
      </c>
      <c r="D1138" t="s">
        <v>715</v>
      </c>
      <c r="E1138">
        <v>29578.5</v>
      </c>
    </row>
    <row r="1139" spans="1:5" hidden="1">
      <c r="A1139" t="s">
        <v>675</v>
      </c>
      <c r="B1139">
        <v>508550340</v>
      </c>
      <c r="C1139" s="61">
        <v>45926</v>
      </c>
      <c r="D1139" t="s">
        <v>715</v>
      </c>
      <c r="E1139">
        <v>2299</v>
      </c>
    </row>
    <row r="1140" spans="1:5" hidden="1">
      <c r="A1140" t="s">
        <v>635</v>
      </c>
      <c r="B1140">
        <v>509853281</v>
      </c>
      <c r="C1140" s="61">
        <v>45926</v>
      </c>
      <c r="D1140" t="s">
        <v>715</v>
      </c>
      <c r="E1140">
        <v>2300</v>
      </c>
    </row>
    <row r="1141" spans="1:5" hidden="1">
      <c r="A1141" t="s">
        <v>636</v>
      </c>
      <c r="B1141">
        <v>509896759</v>
      </c>
      <c r="C1141" s="61">
        <v>45926</v>
      </c>
      <c r="D1141" t="s">
        <v>715</v>
      </c>
      <c r="E1141">
        <v>130</v>
      </c>
    </row>
    <row r="1142" spans="1:5" hidden="1">
      <c r="A1142" t="s">
        <v>637</v>
      </c>
      <c r="B1142">
        <v>509901079</v>
      </c>
      <c r="C1142" s="61">
        <v>45926</v>
      </c>
      <c r="D1142" t="s">
        <v>715</v>
      </c>
      <c r="E1142">
        <v>2800</v>
      </c>
    </row>
    <row r="1143" spans="1:5" hidden="1">
      <c r="A1143" t="s">
        <v>638</v>
      </c>
      <c r="B1143">
        <v>509925465</v>
      </c>
      <c r="C1143" s="61">
        <v>45926</v>
      </c>
      <c r="D1143" t="s">
        <v>715</v>
      </c>
      <c r="E1143">
        <v>8000</v>
      </c>
    </row>
    <row r="1144" spans="1:5" hidden="1">
      <c r="A1144" t="s">
        <v>639</v>
      </c>
      <c r="B1144">
        <v>509935473</v>
      </c>
      <c r="C1144" s="61">
        <v>45926</v>
      </c>
      <c r="D1144" t="s">
        <v>715</v>
      </c>
      <c r="E1144">
        <v>2998</v>
      </c>
    </row>
    <row r="1145" spans="1:5" hidden="1">
      <c r="A1145" t="s">
        <v>640</v>
      </c>
      <c r="B1145">
        <v>509960776</v>
      </c>
      <c r="C1145" s="61">
        <v>45926</v>
      </c>
      <c r="D1145" t="s">
        <v>715</v>
      </c>
      <c r="E1145">
        <v>1750</v>
      </c>
    </row>
    <row r="1146" spans="1:5" hidden="1">
      <c r="A1146" t="s">
        <v>641</v>
      </c>
      <c r="B1146">
        <v>509962146</v>
      </c>
      <c r="C1146" s="61">
        <v>45926</v>
      </c>
      <c r="D1146" t="s">
        <v>715</v>
      </c>
      <c r="E1146">
        <v>1194</v>
      </c>
    </row>
    <row r="1147" spans="1:5" hidden="1">
      <c r="A1147" t="s">
        <v>642</v>
      </c>
      <c r="B1147">
        <v>509967598</v>
      </c>
      <c r="C1147" s="61">
        <v>45926</v>
      </c>
      <c r="D1147" t="s">
        <v>715</v>
      </c>
      <c r="E1147">
        <v>832</v>
      </c>
    </row>
    <row r="1148" spans="1:5" hidden="1">
      <c r="A1148" t="s">
        <v>643</v>
      </c>
      <c r="B1148">
        <v>509971995</v>
      </c>
      <c r="C1148" s="61">
        <v>45926</v>
      </c>
      <c r="D1148" t="s">
        <v>715</v>
      </c>
      <c r="E1148">
        <v>9182</v>
      </c>
    </row>
    <row r="1149" spans="1:5" hidden="1">
      <c r="A1149" t="s">
        <v>644</v>
      </c>
      <c r="B1149">
        <v>509972096</v>
      </c>
      <c r="C1149" s="61">
        <v>45926</v>
      </c>
      <c r="D1149" t="s">
        <v>715</v>
      </c>
      <c r="E1149">
        <v>12279</v>
      </c>
    </row>
    <row r="1150" spans="1:5" hidden="1">
      <c r="A1150" t="s">
        <v>645</v>
      </c>
      <c r="B1150">
        <v>509979186</v>
      </c>
      <c r="C1150" s="61">
        <v>45926</v>
      </c>
      <c r="D1150" t="s">
        <v>715</v>
      </c>
      <c r="E1150">
        <v>2999</v>
      </c>
    </row>
    <row r="1151" spans="1:5" hidden="1">
      <c r="A1151" t="s">
        <v>646</v>
      </c>
      <c r="B1151">
        <v>509982026</v>
      </c>
      <c r="C1151" s="61">
        <v>45926</v>
      </c>
      <c r="D1151" t="s">
        <v>715</v>
      </c>
      <c r="E1151">
        <v>2358</v>
      </c>
    </row>
    <row r="1152" spans="1:5" hidden="1">
      <c r="A1152" t="s">
        <v>647</v>
      </c>
      <c r="B1152">
        <v>509982254</v>
      </c>
      <c r="C1152" s="61">
        <v>45926</v>
      </c>
      <c r="D1152" t="s">
        <v>715</v>
      </c>
      <c r="E1152">
        <v>1999</v>
      </c>
    </row>
    <row r="1153" spans="1:5" hidden="1">
      <c r="A1153" t="s">
        <v>648</v>
      </c>
      <c r="B1153">
        <v>509982575</v>
      </c>
      <c r="C1153" s="61">
        <v>45926</v>
      </c>
      <c r="D1153" t="s">
        <v>715</v>
      </c>
      <c r="E1153">
        <v>2398</v>
      </c>
    </row>
    <row r="1154" spans="1:5" hidden="1">
      <c r="A1154" t="s">
        <v>649</v>
      </c>
      <c r="B1154">
        <v>509984416</v>
      </c>
      <c r="C1154" s="61">
        <v>45926</v>
      </c>
      <c r="D1154" t="s">
        <v>715</v>
      </c>
      <c r="E1154">
        <v>0</v>
      </c>
    </row>
    <row r="1155" spans="1:5" hidden="1">
      <c r="A1155" t="s">
        <v>650</v>
      </c>
      <c r="B1155">
        <v>509986843</v>
      </c>
      <c r="C1155" s="61">
        <v>45926</v>
      </c>
      <c r="D1155" t="s">
        <v>715</v>
      </c>
      <c r="E1155">
        <v>1599</v>
      </c>
    </row>
    <row r="1156" spans="1:5" hidden="1">
      <c r="A1156" t="s">
        <v>651</v>
      </c>
      <c r="B1156">
        <v>509989130</v>
      </c>
      <c r="C1156" s="61">
        <v>45926</v>
      </c>
      <c r="D1156" t="s">
        <v>715</v>
      </c>
      <c r="E1156">
        <v>7999</v>
      </c>
    </row>
    <row r="1157" spans="1:5" hidden="1">
      <c r="A1157" t="s">
        <v>652</v>
      </c>
      <c r="B1157">
        <v>509992056</v>
      </c>
      <c r="C1157" s="61">
        <v>45926</v>
      </c>
      <c r="D1157" t="s">
        <v>715</v>
      </c>
      <c r="E1157">
        <v>3200</v>
      </c>
    </row>
    <row r="1158" spans="1:5" hidden="1">
      <c r="A1158" t="s">
        <v>653</v>
      </c>
      <c r="B1158">
        <v>509993255</v>
      </c>
      <c r="C1158" s="61">
        <v>45926</v>
      </c>
      <c r="D1158" t="s">
        <v>715</v>
      </c>
      <c r="E1158">
        <v>0</v>
      </c>
    </row>
    <row r="1159" spans="1:5" hidden="1">
      <c r="A1159" t="s">
        <v>654</v>
      </c>
      <c r="B1159">
        <v>509993509</v>
      </c>
      <c r="C1159" s="61">
        <v>45926</v>
      </c>
      <c r="D1159" t="s">
        <v>715</v>
      </c>
      <c r="E1159">
        <v>0</v>
      </c>
    </row>
    <row r="1160" spans="1:5" hidden="1">
      <c r="A1160" t="s">
        <v>679</v>
      </c>
      <c r="B1160">
        <v>510773839</v>
      </c>
      <c r="C1160" s="61">
        <v>45926</v>
      </c>
      <c r="D1160" t="s">
        <v>715</v>
      </c>
      <c r="E1160">
        <v>548</v>
      </c>
    </row>
    <row r="1161" spans="1:5" hidden="1">
      <c r="A1161" t="s">
        <v>680</v>
      </c>
      <c r="B1161">
        <v>510781165</v>
      </c>
      <c r="C1161" s="61">
        <v>45926</v>
      </c>
      <c r="D1161" t="s">
        <v>715</v>
      </c>
      <c r="E1161">
        <v>1270</v>
      </c>
    </row>
    <row r="1162" spans="1:5" hidden="1">
      <c r="A1162" t="s">
        <v>681</v>
      </c>
      <c r="B1162">
        <v>510801228</v>
      </c>
      <c r="C1162" s="61">
        <v>45926</v>
      </c>
      <c r="D1162" t="s">
        <v>715</v>
      </c>
      <c r="E1162">
        <v>4238</v>
      </c>
    </row>
    <row r="1163" spans="1:5" hidden="1">
      <c r="A1163" t="s">
        <v>682</v>
      </c>
      <c r="B1163">
        <v>510804780</v>
      </c>
      <c r="C1163" s="61">
        <v>45926</v>
      </c>
      <c r="D1163" t="s">
        <v>715</v>
      </c>
      <c r="E1163">
        <v>36000</v>
      </c>
    </row>
    <row r="1164" spans="1:5" hidden="1">
      <c r="A1164" t="s">
        <v>611</v>
      </c>
      <c r="B1164">
        <v>511918912</v>
      </c>
      <c r="C1164" s="61">
        <v>45926</v>
      </c>
      <c r="D1164" t="s">
        <v>715</v>
      </c>
      <c r="E1164">
        <v>2000</v>
      </c>
    </row>
    <row r="1165" spans="1:5" hidden="1">
      <c r="A1165" t="s">
        <v>612</v>
      </c>
      <c r="B1165">
        <v>511922121</v>
      </c>
      <c r="C1165" s="61">
        <v>45926</v>
      </c>
      <c r="D1165" t="s">
        <v>715</v>
      </c>
      <c r="E1165">
        <v>7650</v>
      </c>
    </row>
    <row r="1166" spans="1:5" hidden="1">
      <c r="A1166" t="s">
        <v>613</v>
      </c>
      <c r="B1166">
        <v>511924209</v>
      </c>
      <c r="C1166" s="61">
        <v>45926</v>
      </c>
      <c r="D1166" t="s">
        <v>715</v>
      </c>
      <c r="E1166">
        <v>790</v>
      </c>
    </row>
    <row r="1167" spans="1:5" hidden="1">
      <c r="A1167" t="s">
        <v>614</v>
      </c>
      <c r="B1167">
        <v>511943069</v>
      </c>
      <c r="C1167" s="61">
        <v>45926</v>
      </c>
      <c r="D1167" t="s">
        <v>715</v>
      </c>
      <c r="E1167">
        <v>3000</v>
      </c>
    </row>
    <row r="1168" spans="1:5" hidden="1">
      <c r="A1168" t="s">
        <v>615</v>
      </c>
      <c r="B1168">
        <v>511943532</v>
      </c>
      <c r="C1168" s="61">
        <v>45926</v>
      </c>
      <c r="D1168" t="s">
        <v>715</v>
      </c>
      <c r="E1168">
        <v>1000</v>
      </c>
    </row>
    <row r="1169" spans="1:5" hidden="1">
      <c r="A1169" t="s">
        <v>616</v>
      </c>
      <c r="B1169">
        <v>512321862</v>
      </c>
      <c r="C1169" s="61">
        <v>45926</v>
      </c>
      <c r="D1169" t="s">
        <v>715</v>
      </c>
      <c r="E1169">
        <v>1399</v>
      </c>
    </row>
    <row r="1170" spans="1:5" hidden="1">
      <c r="A1170" t="s">
        <v>617</v>
      </c>
      <c r="B1170">
        <v>512345043</v>
      </c>
      <c r="C1170" s="61">
        <v>45926</v>
      </c>
      <c r="D1170" t="s">
        <v>715</v>
      </c>
      <c r="E1170">
        <v>4150</v>
      </c>
    </row>
    <row r="1171" spans="1:5" hidden="1">
      <c r="A1171" t="s">
        <v>626</v>
      </c>
      <c r="B1171">
        <v>512679498</v>
      </c>
      <c r="C1171" s="61">
        <v>45926</v>
      </c>
      <c r="D1171" t="s">
        <v>715</v>
      </c>
      <c r="E1171">
        <v>899</v>
      </c>
    </row>
    <row r="1172" spans="1:5" hidden="1">
      <c r="A1172" t="s">
        <v>713</v>
      </c>
      <c r="B1172">
        <v>512711891</v>
      </c>
      <c r="C1172" s="61">
        <v>45926</v>
      </c>
      <c r="D1172" t="s">
        <v>715</v>
      </c>
      <c r="E1172">
        <v>830</v>
      </c>
    </row>
    <row r="1173" spans="1:5" hidden="1">
      <c r="A1173" t="s">
        <v>705</v>
      </c>
      <c r="B1173">
        <v>512973034</v>
      </c>
      <c r="C1173" s="61">
        <v>45926</v>
      </c>
      <c r="D1173" t="s">
        <v>715</v>
      </c>
      <c r="E1173">
        <v>1250</v>
      </c>
    </row>
    <row r="1174" spans="1:5" hidden="1">
      <c r="A1174" t="s">
        <v>706</v>
      </c>
      <c r="B1174">
        <v>512974018</v>
      </c>
      <c r="C1174" s="61">
        <v>45926</v>
      </c>
      <c r="D1174" t="s">
        <v>715</v>
      </c>
      <c r="E1174">
        <v>3200</v>
      </c>
    </row>
    <row r="1175" spans="1:5" hidden="1">
      <c r="A1175" t="s">
        <v>704</v>
      </c>
      <c r="B1175">
        <v>513073273</v>
      </c>
      <c r="C1175" s="61">
        <v>45926</v>
      </c>
      <c r="D1175" t="s">
        <v>715</v>
      </c>
      <c r="E1175">
        <v>2700</v>
      </c>
    </row>
    <row r="1176" spans="1:5" hidden="1">
      <c r="A1176" t="s">
        <v>709</v>
      </c>
      <c r="B1176">
        <v>513540463</v>
      </c>
      <c r="C1176" s="61">
        <v>45926</v>
      </c>
      <c r="D1176" t="s">
        <v>715</v>
      </c>
      <c r="E1176">
        <v>0</v>
      </c>
    </row>
    <row r="1177" spans="1:5" hidden="1">
      <c r="A1177" t="s">
        <v>631</v>
      </c>
      <c r="B1177">
        <v>513620302</v>
      </c>
      <c r="C1177" s="61">
        <v>45926</v>
      </c>
      <c r="D1177" t="s">
        <v>715</v>
      </c>
      <c r="E1177">
        <v>1699</v>
      </c>
    </row>
    <row r="1178" spans="1:5" hidden="1">
      <c r="A1178" t="s">
        <v>817</v>
      </c>
      <c r="B1178">
        <v>11749215</v>
      </c>
      <c r="C1178" s="60">
        <v>45927</v>
      </c>
      <c r="D1178" t="s">
        <v>839</v>
      </c>
      <c r="E1178">
        <v>1075</v>
      </c>
    </row>
    <row r="1179" spans="1:5" hidden="1">
      <c r="A1179" t="s">
        <v>824</v>
      </c>
      <c r="B1179">
        <v>11752117</v>
      </c>
      <c r="C1179" s="60">
        <v>45927</v>
      </c>
      <c r="D1179" t="s">
        <v>839</v>
      </c>
      <c r="E1179">
        <v>1100</v>
      </c>
    </row>
    <row r="1180" spans="1:5" hidden="1">
      <c r="A1180" t="s">
        <v>827</v>
      </c>
      <c r="B1180">
        <v>11753937</v>
      </c>
      <c r="C1180" s="60">
        <v>45927</v>
      </c>
      <c r="D1180" t="s">
        <v>839</v>
      </c>
      <c r="E1180">
        <v>1359</v>
      </c>
    </row>
    <row r="1181" spans="1:5" hidden="1">
      <c r="A1181" t="s">
        <v>720</v>
      </c>
      <c r="B1181">
        <v>11836725</v>
      </c>
      <c r="C1181" s="60">
        <v>45927</v>
      </c>
      <c r="D1181" t="s">
        <v>839</v>
      </c>
      <c r="E1181">
        <v>3885</v>
      </c>
    </row>
    <row r="1182" spans="1:5" hidden="1">
      <c r="A1182" t="s">
        <v>756</v>
      </c>
      <c r="B1182">
        <v>11868615</v>
      </c>
      <c r="C1182" s="60">
        <v>45927</v>
      </c>
      <c r="D1182" t="s">
        <v>839</v>
      </c>
      <c r="E1182">
        <v>1027</v>
      </c>
    </row>
    <row r="1183" spans="1:5" hidden="1">
      <c r="A1183" t="s">
        <v>735</v>
      </c>
      <c r="B1183">
        <v>11883308</v>
      </c>
      <c r="C1183" s="60">
        <v>45927</v>
      </c>
      <c r="D1183" t="s">
        <v>839</v>
      </c>
      <c r="E1183">
        <v>0</v>
      </c>
    </row>
    <row r="1184" spans="1:5" hidden="1">
      <c r="A1184" t="s">
        <v>807</v>
      </c>
      <c r="B1184">
        <v>11894063</v>
      </c>
      <c r="C1184" s="60">
        <v>45927</v>
      </c>
      <c r="D1184" t="s">
        <v>839</v>
      </c>
      <c r="E1184">
        <v>1611</v>
      </c>
    </row>
    <row r="1185" spans="1:5" hidden="1">
      <c r="A1185" t="s">
        <v>741</v>
      </c>
      <c r="B1185">
        <v>11900626</v>
      </c>
      <c r="C1185" s="60">
        <v>45927</v>
      </c>
      <c r="D1185" t="s">
        <v>839</v>
      </c>
      <c r="E1185">
        <v>829</v>
      </c>
    </row>
    <row r="1186" spans="1:5" hidden="1">
      <c r="A1186" t="s">
        <v>789</v>
      </c>
      <c r="B1186">
        <v>11900756</v>
      </c>
      <c r="C1186" s="60">
        <v>45927</v>
      </c>
      <c r="D1186" t="s">
        <v>839</v>
      </c>
      <c r="E1186">
        <v>742</v>
      </c>
    </row>
    <row r="1187" spans="1:5" hidden="1">
      <c r="A1187" t="s">
        <v>776</v>
      </c>
      <c r="B1187">
        <v>11901800</v>
      </c>
      <c r="C1187" s="60">
        <v>45927</v>
      </c>
      <c r="D1187" t="s">
        <v>839</v>
      </c>
      <c r="E1187">
        <v>0</v>
      </c>
    </row>
    <row r="1188" spans="1:5" hidden="1">
      <c r="A1188" t="s">
        <v>835</v>
      </c>
      <c r="B1188">
        <v>11902131</v>
      </c>
      <c r="C1188" s="60">
        <v>45927</v>
      </c>
      <c r="D1188" t="s">
        <v>839</v>
      </c>
      <c r="E1188">
        <v>990</v>
      </c>
    </row>
    <row r="1189" spans="1:5" hidden="1">
      <c r="A1189" t="s">
        <v>798</v>
      </c>
      <c r="B1189">
        <v>11903628</v>
      </c>
      <c r="C1189" s="60">
        <v>45927</v>
      </c>
      <c r="D1189" t="s">
        <v>839</v>
      </c>
      <c r="E1189">
        <v>476</v>
      </c>
    </row>
    <row r="1190" spans="1:5" hidden="1">
      <c r="A1190" t="s">
        <v>816</v>
      </c>
      <c r="B1190">
        <v>11903757</v>
      </c>
      <c r="C1190" s="60">
        <v>45927</v>
      </c>
      <c r="D1190" t="s">
        <v>839</v>
      </c>
      <c r="E1190">
        <v>1545</v>
      </c>
    </row>
    <row r="1191" spans="1:5" hidden="1">
      <c r="A1191" t="s">
        <v>820</v>
      </c>
      <c r="B1191">
        <v>11904508</v>
      </c>
      <c r="C1191" s="60">
        <v>45927</v>
      </c>
      <c r="D1191" t="s">
        <v>839</v>
      </c>
      <c r="E1191">
        <v>579</v>
      </c>
    </row>
    <row r="1192" spans="1:5" hidden="1">
      <c r="A1192" t="s">
        <v>792</v>
      </c>
      <c r="B1192">
        <v>11904550</v>
      </c>
      <c r="C1192" s="60">
        <v>45927</v>
      </c>
      <c r="D1192" t="s">
        <v>839</v>
      </c>
      <c r="E1192">
        <v>298</v>
      </c>
    </row>
    <row r="1193" spans="1:5" hidden="1">
      <c r="A1193" t="s">
        <v>800</v>
      </c>
      <c r="B1193">
        <v>11904649</v>
      </c>
      <c r="C1193" s="60">
        <v>45927</v>
      </c>
      <c r="D1193" t="s">
        <v>839</v>
      </c>
      <c r="E1193">
        <v>354</v>
      </c>
    </row>
    <row r="1194" spans="1:5" hidden="1">
      <c r="A1194" t="s">
        <v>821</v>
      </c>
      <c r="B1194">
        <v>11905907</v>
      </c>
      <c r="C1194" s="60">
        <v>45927</v>
      </c>
      <c r="D1194" t="s">
        <v>839</v>
      </c>
      <c r="E1194">
        <v>1418</v>
      </c>
    </row>
    <row r="1195" spans="1:5" hidden="1">
      <c r="A1195" t="s">
        <v>780</v>
      </c>
      <c r="B1195">
        <v>11906732</v>
      </c>
      <c r="C1195" s="60">
        <v>45927</v>
      </c>
      <c r="D1195" t="s">
        <v>839</v>
      </c>
      <c r="E1195">
        <v>1070</v>
      </c>
    </row>
    <row r="1196" spans="1:5" hidden="1">
      <c r="A1196" t="s">
        <v>833</v>
      </c>
      <c r="B1196">
        <v>11908115</v>
      </c>
      <c r="C1196" s="60">
        <v>45927</v>
      </c>
      <c r="D1196" t="s">
        <v>839</v>
      </c>
      <c r="E1196">
        <v>1349</v>
      </c>
    </row>
    <row r="1197" spans="1:5" hidden="1">
      <c r="A1197" t="s">
        <v>822</v>
      </c>
      <c r="B1197">
        <v>11908815</v>
      </c>
      <c r="C1197" s="60">
        <v>45927</v>
      </c>
      <c r="D1197" t="s">
        <v>839</v>
      </c>
      <c r="E1197">
        <v>580</v>
      </c>
    </row>
    <row r="1198" spans="1:5" hidden="1">
      <c r="A1198" t="s">
        <v>815</v>
      </c>
      <c r="B1198">
        <v>11909112</v>
      </c>
      <c r="C1198" s="60">
        <v>45927</v>
      </c>
      <c r="D1198" t="s">
        <v>839</v>
      </c>
      <c r="E1198">
        <v>1103</v>
      </c>
    </row>
    <row r="1199" spans="1:5" hidden="1">
      <c r="A1199" t="s">
        <v>795</v>
      </c>
      <c r="B1199">
        <v>11910496</v>
      </c>
      <c r="C1199" s="60">
        <v>45927</v>
      </c>
      <c r="D1199" t="s">
        <v>839</v>
      </c>
      <c r="E1199">
        <v>390</v>
      </c>
    </row>
    <row r="1200" spans="1:5" hidden="1">
      <c r="A1200" t="s">
        <v>790</v>
      </c>
      <c r="B1200">
        <v>11911194</v>
      </c>
      <c r="C1200" s="60">
        <v>45927</v>
      </c>
      <c r="D1200" t="s">
        <v>839</v>
      </c>
      <c r="E1200">
        <v>1287</v>
      </c>
    </row>
    <row r="1201" spans="1:5" hidden="1">
      <c r="A1201" t="s">
        <v>830</v>
      </c>
      <c r="B1201">
        <v>11911950</v>
      </c>
      <c r="C1201" s="60">
        <v>45927</v>
      </c>
      <c r="D1201" t="s">
        <v>839</v>
      </c>
      <c r="E1201">
        <v>507</v>
      </c>
    </row>
    <row r="1202" spans="1:5" hidden="1">
      <c r="A1202" t="s">
        <v>729</v>
      </c>
      <c r="B1202">
        <v>11912410</v>
      </c>
      <c r="C1202" s="60">
        <v>45927</v>
      </c>
      <c r="D1202" t="s">
        <v>839</v>
      </c>
      <c r="E1202">
        <v>520</v>
      </c>
    </row>
    <row r="1203" spans="1:5" hidden="1">
      <c r="A1203" t="s">
        <v>819</v>
      </c>
      <c r="B1203">
        <v>11913179</v>
      </c>
      <c r="C1203" s="60">
        <v>45927</v>
      </c>
      <c r="D1203" t="s">
        <v>839</v>
      </c>
      <c r="E1203">
        <v>1436</v>
      </c>
    </row>
    <row r="1204" spans="1:5" hidden="1">
      <c r="A1204" t="s">
        <v>739</v>
      </c>
      <c r="B1204">
        <v>11913688</v>
      </c>
      <c r="C1204" s="60">
        <v>45927</v>
      </c>
      <c r="D1204" t="s">
        <v>839</v>
      </c>
      <c r="E1204">
        <v>789</v>
      </c>
    </row>
    <row r="1205" spans="1:5" hidden="1">
      <c r="A1205" t="s">
        <v>806</v>
      </c>
      <c r="B1205">
        <v>11913715</v>
      </c>
      <c r="C1205" s="60">
        <v>45927</v>
      </c>
      <c r="D1205" t="s">
        <v>839</v>
      </c>
      <c r="E1205">
        <v>2040</v>
      </c>
    </row>
    <row r="1206" spans="1:5" hidden="1">
      <c r="A1206" t="s">
        <v>755</v>
      </c>
      <c r="B1206">
        <v>11913791</v>
      </c>
      <c r="C1206" s="60">
        <v>45927</v>
      </c>
      <c r="D1206" t="s">
        <v>839</v>
      </c>
      <c r="E1206">
        <v>585</v>
      </c>
    </row>
    <row r="1207" spans="1:5" hidden="1">
      <c r="A1207" t="s">
        <v>725</v>
      </c>
      <c r="B1207">
        <v>11916205</v>
      </c>
      <c r="C1207" s="60">
        <v>45927</v>
      </c>
      <c r="D1207" t="s">
        <v>839</v>
      </c>
      <c r="E1207">
        <v>800</v>
      </c>
    </row>
    <row r="1208" spans="1:5" hidden="1">
      <c r="A1208" t="s">
        <v>799</v>
      </c>
      <c r="B1208">
        <v>11916975</v>
      </c>
      <c r="C1208" s="60">
        <v>45927</v>
      </c>
      <c r="D1208" t="s">
        <v>839</v>
      </c>
      <c r="E1208">
        <v>2606</v>
      </c>
    </row>
    <row r="1209" spans="1:5" hidden="1">
      <c r="A1209" t="s">
        <v>723</v>
      </c>
      <c r="B1209">
        <v>11917476</v>
      </c>
      <c r="C1209" s="60">
        <v>45927</v>
      </c>
      <c r="D1209" t="s">
        <v>839</v>
      </c>
      <c r="E1209">
        <v>3080</v>
      </c>
    </row>
    <row r="1210" spans="1:5" hidden="1">
      <c r="A1210" t="s">
        <v>774</v>
      </c>
      <c r="B1210">
        <v>11917745</v>
      </c>
      <c r="C1210" s="60">
        <v>45927</v>
      </c>
      <c r="D1210" t="s">
        <v>839</v>
      </c>
      <c r="E1210">
        <v>599</v>
      </c>
    </row>
    <row r="1211" spans="1:5" hidden="1">
      <c r="A1211" t="s">
        <v>805</v>
      </c>
      <c r="B1211">
        <v>11917989</v>
      </c>
      <c r="C1211" s="60">
        <v>45927</v>
      </c>
      <c r="D1211" t="s">
        <v>839</v>
      </c>
      <c r="E1211">
        <v>4359</v>
      </c>
    </row>
    <row r="1212" spans="1:5" hidden="1">
      <c r="A1212" t="s">
        <v>810</v>
      </c>
      <c r="B1212">
        <v>11919028</v>
      </c>
      <c r="C1212" s="60">
        <v>45927</v>
      </c>
      <c r="D1212" t="s">
        <v>839</v>
      </c>
      <c r="E1212">
        <v>2518</v>
      </c>
    </row>
    <row r="1213" spans="1:5" hidden="1">
      <c r="A1213" t="s">
        <v>803</v>
      </c>
      <c r="B1213">
        <v>11919361</v>
      </c>
      <c r="C1213" s="60">
        <v>45927</v>
      </c>
      <c r="D1213" t="s">
        <v>839</v>
      </c>
      <c r="E1213">
        <v>420</v>
      </c>
    </row>
    <row r="1214" spans="1:5" hidden="1">
      <c r="A1214" t="s">
        <v>802</v>
      </c>
      <c r="B1214">
        <v>12100271</v>
      </c>
      <c r="C1214" s="60">
        <v>45927</v>
      </c>
      <c r="D1214" t="s">
        <v>839</v>
      </c>
      <c r="E1214">
        <v>515</v>
      </c>
    </row>
    <row r="1215" spans="1:5" hidden="1">
      <c r="A1215" t="s">
        <v>794</v>
      </c>
      <c r="B1215">
        <v>12100855</v>
      </c>
      <c r="C1215" s="60">
        <v>45927</v>
      </c>
      <c r="D1215" t="s">
        <v>839</v>
      </c>
      <c r="E1215">
        <v>1850</v>
      </c>
    </row>
    <row r="1216" spans="1:5" hidden="1">
      <c r="A1216" t="s">
        <v>745</v>
      </c>
      <c r="B1216">
        <v>12101149</v>
      </c>
      <c r="C1216" s="60">
        <v>45927</v>
      </c>
      <c r="D1216" t="s">
        <v>839</v>
      </c>
      <c r="E1216">
        <v>7979</v>
      </c>
    </row>
    <row r="1217" spans="1:5" hidden="1">
      <c r="A1217" t="s">
        <v>808</v>
      </c>
      <c r="B1217">
        <v>12103810</v>
      </c>
      <c r="C1217" s="60">
        <v>45927</v>
      </c>
      <c r="D1217" t="s">
        <v>839</v>
      </c>
      <c r="E1217">
        <v>342</v>
      </c>
    </row>
    <row r="1218" spans="1:5" hidden="1">
      <c r="A1218" t="s">
        <v>782</v>
      </c>
      <c r="B1218">
        <v>12104618</v>
      </c>
      <c r="C1218" s="60">
        <v>45927</v>
      </c>
      <c r="D1218" t="s">
        <v>839</v>
      </c>
      <c r="E1218">
        <v>10258</v>
      </c>
    </row>
    <row r="1219" spans="1:5" hidden="1">
      <c r="A1219" t="s">
        <v>730</v>
      </c>
      <c r="B1219">
        <v>12105031</v>
      </c>
      <c r="C1219" s="60">
        <v>45927</v>
      </c>
      <c r="D1219" t="s">
        <v>839</v>
      </c>
      <c r="E1219">
        <v>1439</v>
      </c>
    </row>
    <row r="1220" spans="1:5" hidden="1">
      <c r="A1220" t="s">
        <v>837</v>
      </c>
      <c r="B1220">
        <v>12105672</v>
      </c>
      <c r="C1220" s="60">
        <v>45927</v>
      </c>
      <c r="D1220" t="s">
        <v>839</v>
      </c>
      <c r="E1220">
        <v>1004</v>
      </c>
    </row>
    <row r="1221" spans="1:5" hidden="1">
      <c r="A1221" t="s">
        <v>787</v>
      </c>
      <c r="B1221">
        <v>12106025</v>
      </c>
      <c r="C1221" s="60">
        <v>45927</v>
      </c>
      <c r="D1221" t="s">
        <v>839</v>
      </c>
      <c r="E1221">
        <v>1800</v>
      </c>
    </row>
    <row r="1222" spans="1:5" hidden="1">
      <c r="A1222" t="s">
        <v>811</v>
      </c>
      <c r="B1222">
        <v>12106089</v>
      </c>
      <c r="C1222" s="60">
        <v>45927</v>
      </c>
      <c r="D1222" t="s">
        <v>839</v>
      </c>
      <c r="E1222">
        <v>1028</v>
      </c>
    </row>
    <row r="1223" spans="1:5" hidden="1">
      <c r="A1223" t="s">
        <v>814</v>
      </c>
      <c r="B1223">
        <v>12106149</v>
      </c>
      <c r="C1223" s="60">
        <v>45927</v>
      </c>
      <c r="D1223" t="s">
        <v>839</v>
      </c>
      <c r="E1223">
        <v>0</v>
      </c>
    </row>
    <row r="1224" spans="1:5" hidden="1">
      <c r="A1224" t="s">
        <v>818</v>
      </c>
      <c r="B1224">
        <v>12106602</v>
      </c>
      <c r="C1224" s="60">
        <v>45927</v>
      </c>
      <c r="D1224" t="s">
        <v>839</v>
      </c>
      <c r="E1224">
        <v>853</v>
      </c>
    </row>
    <row r="1225" spans="1:5" hidden="1">
      <c r="A1225" t="s">
        <v>761</v>
      </c>
      <c r="B1225">
        <v>12107149</v>
      </c>
      <c r="C1225" s="60">
        <v>45927</v>
      </c>
      <c r="D1225" t="s">
        <v>839</v>
      </c>
      <c r="E1225">
        <v>2658</v>
      </c>
    </row>
    <row r="1226" spans="1:5" hidden="1">
      <c r="A1226" t="s">
        <v>779</v>
      </c>
      <c r="B1226">
        <v>12107464</v>
      </c>
      <c r="C1226" s="60">
        <v>45927</v>
      </c>
      <c r="D1226" t="s">
        <v>839</v>
      </c>
      <c r="E1226">
        <v>1339</v>
      </c>
    </row>
    <row r="1227" spans="1:5" hidden="1">
      <c r="A1227" t="s">
        <v>775</v>
      </c>
      <c r="B1227">
        <v>12108019</v>
      </c>
      <c r="C1227" s="60">
        <v>45927</v>
      </c>
      <c r="D1227" t="s">
        <v>839</v>
      </c>
      <c r="E1227">
        <v>919</v>
      </c>
    </row>
    <row r="1228" spans="1:5" hidden="1">
      <c r="A1228" t="s">
        <v>746</v>
      </c>
      <c r="B1228">
        <v>12108328</v>
      </c>
      <c r="C1228" s="60">
        <v>45927</v>
      </c>
      <c r="D1228" t="s">
        <v>839</v>
      </c>
      <c r="E1228">
        <v>0</v>
      </c>
    </row>
    <row r="1229" spans="1:5" hidden="1">
      <c r="A1229" t="s">
        <v>731</v>
      </c>
      <c r="B1229">
        <v>12108966</v>
      </c>
      <c r="C1229" s="60">
        <v>45927</v>
      </c>
      <c r="D1229" t="s">
        <v>839</v>
      </c>
      <c r="E1229">
        <v>859</v>
      </c>
    </row>
    <row r="1230" spans="1:5" hidden="1">
      <c r="A1230" t="s">
        <v>831</v>
      </c>
      <c r="B1230">
        <v>12109815</v>
      </c>
      <c r="C1230" s="60">
        <v>45927</v>
      </c>
      <c r="D1230" t="s">
        <v>839</v>
      </c>
      <c r="E1230">
        <v>2048</v>
      </c>
    </row>
    <row r="1231" spans="1:5" hidden="1">
      <c r="A1231" t="s">
        <v>778</v>
      </c>
      <c r="B1231">
        <v>12111019</v>
      </c>
      <c r="C1231" s="60">
        <v>45927</v>
      </c>
      <c r="D1231" t="s">
        <v>839</v>
      </c>
      <c r="E1231">
        <v>1849</v>
      </c>
    </row>
    <row r="1232" spans="1:5" hidden="1">
      <c r="A1232" t="s">
        <v>724</v>
      </c>
      <c r="B1232">
        <v>12111206</v>
      </c>
      <c r="C1232" s="60">
        <v>45927</v>
      </c>
      <c r="D1232" t="s">
        <v>839</v>
      </c>
      <c r="E1232">
        <v>569</v>
      </c>
    </row>
    <row r="1233" spans="1:5" hidden="1">
      <c r="A1233" t="s">
        <v>734</v>
      </c>
      <c r="B1233">
        <v>12112448</v>
      </c>
      <c r="C1233" s="60">
        <v>45927</v>
      </c>
      <c r="D1233" t="s">
        <v>839</v>
      </c>
      <c r="E1233">
        <v>579</v>
      </c>
    </row>
    <row r="1234" spans="1:5" hidden="1">
      <c r="A1234" t="s">
        <v>762</v>
      </c>
      <c r="B1234">
        <v>12113234</v>
      </c>
      <c r="C1234" s="60">
        <v>45927</v>
      </c>
      <c r="D1234" t="s">
        <v>839</v>
      </c>
      <c r="E1234">
        <v>1030</v>
      </c>
    </row>
    <row r="1235" spans="1:5" hidden="1">
      <c r="A1235" t="s">
        <v>748</v>
      </c>
      <c r="B1235">
        <v>12115821</v>
      </c>
      <c r="C1235" s="60">
        <v>45927</v>
      </c>
      <c r="D1235" t="s">
        <v>839</v>
      </c>
      <c r="E1235">
        <v>1299</v>
      </c>
    </row>
    <row r="1236" spans="1:5" hidden="1">
      <c r="A1236" t="s">
        <v>801</v>
      </c>
      <c r="B1236">
        <v>12121134</v>
      </c>
      <c r="C1236" s="60">
        <v>45927</v>
      </c>
      <c r="D1236" t="s">
        <v>839</v>
      </c>
      <c r="E1236">
        <v>899</v>
      </c>
    </row>
    <row r="1237" spans="1:5" hidden="1">
      <c r="A1237" t="s">
        <v>784</v>
      </c>
      <c r="B1237">
        <v>500668198</v>
      </c>
      <c r="C1237" s="60">
        <v>45927</v>
      </c>
      <c r="D1237" t="s">
        <v>839</v>
      </c>
      <c r="E1237">
        <v>1250</v>
      </c>
    </row>
    <row r="1238" spans="1:5" hidden="1">
      <c r="A1238" t="s">
        <v>771</v>
      </c>
      <c r="B1238">
        <v>503763570</v>
      </c>
      <c r="C1238" s="60">
        <v>45927</v>
      </c>
      <c r="D1238" t="s">
        <v>839</v>
      </c>
      <c r="E1238">
        <v>3500</v>
      </c>
    </row>
    <row r="1239" spans="1:5" hidden="1">
      <c r="A1239" t="s">
        <v>793</v>
      </c>
      <c r="B1239">
        <v>505085696</v>
      </c>
      <c r="C1239" s="60">
        <v>45927</v>
      </c>
      <c r="D1239" t="s">
        <v>839</v>
      </c>
      <c r="E1239">
        <v>2000</v>
      </c>
    </row>
    <row r="1240" spans="1:5" hidden="1">
      <c r="A1240" t="s">
        <v>829</v>
      </c>
      <c r="B1240">
        <v>506949724</v>
      </c>
      <c r="C1240" s="60">
        <v>45927</v>
      </c>
      <c r="D1240" t="s">
        <v>839</v>
      </c>
      <c r="E1240">
        <v>3000</v>
      </c>
    </row>
    <row r="1241" spans="1:5" hidden="1">
      <c r="A1241" t="s">
        <v>753</v>
      </c>
      <c r="B1241">
        <v>507259073</v>
      </c>
      <c r="C1241" s="60">
        <v>45927</v>
      </c>
      <c r="D1241" t="s">
        <v>839</v>
      </c>
      <c r="E1241">
        <v>2199</v>
      </c>
    </row>
    <row r="1242" spans="1:5" hidden="1">
      <c r="A1242" t="s">
        <v>726</v>
      </c>
      <c r="B1242">
        <v>507262136</v>
      </c>
      <c r="C1242" s="60">
        <v>45927</v>
      </c>
      <c r="D1242" t="s">
        <v>839</v>
      </c>
      <c r="E1242">
        <v>2000</v>
      </c>
    </row>
    <row r="1243" spans="1:5" hidden="1">
      <c r="A1243" t="s">
        <v>768</v>
      </c>
      <c r="B1243">
        <v>507823157</v>
      </c>
      <c r="C1243" s="60">
        <v>45927</v>
      </c>
      <c r="D1243" t="s">
        <v>839</v>
      </c>
      <c r="E1243">
        <v>1999</v>
      </c>
    </row>
    <row r="1244" spans="1:5" hidden="1">
      <c r="A1244" t="s">
        <v>828</v>
      </c>
      <c r="B1244">
        <v>508276382</v>
      </c>
      <c r="C1244" s="60">
        <v>45927</v>
      </c>
      <c r="D1244" t="s">
        <v>839</v>
      </c>
      <c r="E1244">
        <v>0</v>
      </c>
    </row>
    <row r="1245" spans="1:5" hidden="1">
      <c r="A1245" t="s">
        <v>772</v>
      </c>
      <c r="B1245">
        <v>508281219</v>
      </c>
      <c r="C1245" s="60">
        <v>45927</v>
      </c>
      <c r="D1245" t="s">
        <v>839</v>
      </c>
      <c r="E1245">
        <v>850</v>
      </c>
    </row>
    <row r="1246" spans="1:5" hidden="1">
      <c r="A1246" t="s">
        <v>738</v>
      </c>
      <c r="B1246">
        <v>508282330</v>
      </c>
      <c r="C1246" s="60">
        <v>45927</v>
      </c>
      <c r="D1246" t="s">
        <v>839</v>
      </c>
      <c r="E1246">
        <v>0</v>
      </c>
    </row>
    <row r="1247" spans="1:5" hidden="1">
      <c r="A1247" t="s">
        <v>809</v>
      </c>
      <c r="B1247">
        <v>508286433</v>
      </c>
      <c r="C1247" s="60">
        <v>45927</v>
      </c>
      <c r="D1247" t="s">
        <v>839</v>
      </c>
      <c r="E1247">
        <v>2499</v>
      </c>
    </row>
    <row r="1248" spans="1:5" hidden="1">
      <c r="A1248" t="s">
        <v>727</v>
      </c>
      <c r="B1248">
        <v>508287424</v>
      </c>
      <c r="C1248" s="60">
        <v>45927</v>
      </c>
      <c r="D1248" t="s">
        <v>839</v>
      </c>
      <c r="E1248">
        <v>0</v>
      </c>
    </row>
    <row r="1249" spans="1:5" hidden="1">
      <c r="A1249" t="s">
        <v>804</v>
      </c>
      <c r="B1249">
        <v>508289487</v>
      </c>
      <c r="C1249" s="60">
        <v>45927</v>
      </c>
      <c r="D1249" t="s">
        <v>839</v>
      </c>
      <c r="E1249">
        <v>700</v>
      </c>
    </row>
    <row r="1250" spans="1:5" hidden="1">
      <c r="A1250" t="s">
        <v>791</v>
      </c>
      <c r="B1250">
        <v>508292189</v>
      </c>
      <c r="C1250" s="60">
        <v>45927</v>
      </c>
      <c r="D1250" t="s">
        <v>839</v>
      </c>
      <c r="E1250">
        <v>6320</v>
      </c>
    </row>
    <row r="1251" spans="1:5" hidden="1">
      <c r="A1251" t="s">
        <v>783</v>
      </c>
      <c r="B1251">
        <v>508293730</v>
      </c>
      <c r="C1251" s="60">
        <v>45927</v>
      </c>
      <c r="D1251" t="s">
        <v>839</v>
      </c>
      <c r="E1251">
        <v>1173</v>
      </c>
    </row>
    <row r="1252" spans="1:5" hidden="1">
      <c r="A1252" t="s">
        <v>721</v>
      </c>
      <c r="B1252">
        <v>508294840</v>
      </c>
      <c r="C1252" s="60">
        <v>45927</v>
      </c>
      <c r="D1252" t="s">
        <v>839</v>
      </c>
      <c r="E1252">
        <v>0</v>
      </c>
    </row>
    <row r="1253" spans="1:5" hidden="1">
      <c r="A1253" t="s">
        <v>763</v>
      </c>
      <c r="B1253">
        <v>508294891</v>
      </c>
      <c r="C1253" s="60">
        <v>45927</v>
      </c>
      <c r="D1253" t="s">
        <v>839</v>
      </c>
      <c r="E1253">
        <v>1799</v>
      </c>
    </row>
    <row r="1254" spans="1:5" hidden="1">
      <c r="A1254" t="s">
        <v>813</v>
      </c>
      <c r="B1254">
        <v>508295568</v>
      </c>
      <c r="C1254" s="60">
        <v>45927</v>
      </c>
      <c r="D1254" t="s">
        <v>839</v>
      </c>
      <c r="E1254">
        <v>5999</v>
      </c>
    </row>
    <row r="1255" spans="1:5" hidden="1">
      <c r="A1255" t="s">
        <v>825</v>
      </c>
      <c r="B1255">
        <v>508296278</v>
      </c>
      <c r="C1255" s="60">
        <v>45927</v>
      </c>
      <c r="D1255" t="s">
        <v>839</v>
      </c>
      <c r="E1255">
        <v>1500</v>
      </c>
    </row>
    <row r="1256" spans="1:5" hidden="1">
      <c r="A1256" t="s">
        <v>743</v>
      </c>
      <c r="B1256">
        <v>508299093</v>
      </c>
      <c r="C1256" s="60">
        <v>45927</v>
      </c>
      <c r="D1256" t="s">
        <v>839</v>
      </c>
      <c r="E1256">
        <v>2499</v>
      </c>
    </row>
    <row r="1257" spans="1:5" hidden="1">
      <c r="A1257" t="s">
        <v>740</v>
      </c>
      <c r="B1257">
        <v>508302926</v>
      </c>
      <c r="C1257" s="60">
        <v>45927</v>
      </c>
      <c r="D1257" t="s">
        <v>839</v>
      </c>
      <c r="E1257">
        <v>1289</v>
      </c>
    </row>
    <row r="1258" spans="1:5" hidden="1">
      <c r="A1258" t="s">
        <v>766</v>
      </c>
      <c r="B1258">
        <v>508306393</v>
      </c>
      <c r="C1258" s="60">
        <v>45927</v>
      </c>
      <c r="D1258" t="s">
        <v>839</v>
      </c>
      <c r="E1258">
        <v>1099</v>
      </c>
    </row>
    <row r="1259" spans="1:5" hidden="1">
      <c r="A1259" t="s">
        <v>764</v>
      </c>
      <c r="B1259">
        <v>509876848</v>
      </c>
      <c r="C1259" s="60">
        <v>45927</v>
      </c>
      <c r="D1259" t="s">
        <v>839</v>
      </c>
      <c r="E1259">
        <v>2139</v>
      </c>
    </row>
    <row r="1260" spans="1:5" hidden="1">
      <c r="A1260" t="s">
        <v>769</v>
      </c>
      <c r="B1260">
        <v>509897099</v>
      </c>
      <c r="C1260" s="60">
        <v>45927</v>
      </c>
      <c r="D1260" t="s">
        <v>839</v>
      </c>
      <c r="E1260">
        <v>0</v>
      </c>
    </row>
    <row r="1261" spans="1:5" hidden="1">
      <c r="A1261" t="s">
        <v>834</v>
      </c>
      <c r="B1261">
        <v>509932294</v>
      </c>
      <c r="C1261" s="60">
        <v>45927</v>
      </c>
      <c r="D1261" t="s">
        <v>839</v>
      </c>
      <c r="E1261">
        <v>1599</v>
      </c>
    </row>
    <row r="1262" spans="1:5" hidden="1">
      <c r="A1262" t="s">
        <v>788</v>
      </c>
      <c r="B1262">
        <v>509942468</v>
      </c>
      <c r="C1262" s="60">
        <v>45927</v>
      </c>
      <c r="D1262" t="s">
        <v>839</v>
      </c>
      <c r="E1262">
        <v>1500</v>
      </c>
    </row>
    <row r="1263" spans="1:5" hidden="1">
      <c r="A1263" t="s">
        <v>759</v>
      </c>
      <c r="B1263">
        <v>509945891</v>
      </c>
      <c r="C1263" s="60">
        <v>45927</v>
      </c>
      <c r="D1263" t="s">
        <v>839</v>
      </c>
      <c r="E1263">
        <v>12581</v>
      </c>
    </row>
    <row r="1264" spans="1:5" hidden="1">
      <c r="A1264" t="s">
        <v>770</v>
      </c>
      <c r="B1264">
        <v>509954380</v>
      </c>
      <c r="C1264" s="60">
        <v>45927</v>
      </c>
      <c r="D1264" t="s">
        <v>839</v>
      </c>
      <c r="E1264">
        <v>650</v>
      </c>
    </row>
    <row r="1265" spans="1:5" hidden="1">
      <c r="A1265" t="s">
        <v>728</v>
      </c>
      <c r="B1265">
        <v>509961778</v>
      </c>
      <c r="C1265" s="60">
        <v>45927</v>
      </c>
      <c r="D1265" t="s">
        <v>839</v>
      </c>
      <c r="E1265">
        <v>1500</v>
      </c>
    </row>
    <row r="1266" spans="1:5" hidden="1">
      <c r="A1266" t="s">
        <v>757</v>
      </c>
      <c r="B1266">
        <v>509966004</v>
      </c>
      <c r="C1266" s="60">
        <v>45927</v>
      </c>
      <c r="D1266" t="s">
        <v>839</v>
      </c>
      <c r="E1266">
        <v>13000</v>
      </c>
    </row>
    <row r="1267" spans="1:5" hidden="1">
      <c r="A1267" t="s">
        <v>749</v>
      </c>
      <c r="B1267">
        <v>509968949</v>
      </c>
      <c r="C1267" s="60">
        <v>45927</v>
      </c>
      <c r="D1267" t="s">
        <v>839</v>
      </c>
      <c r="E1267">
        <v>2448</v>
      </c>
    </row>
    <row r="1268" spans="1:5" hidden="1">
      <c r="A1268" t="s">
        <v>722</v>
      </c>
      <c r="B1268">
        <v>509969417</v>
      </c>
      <c r="C1268" s="60">
        <v>45927</v>
      </c>
      <c r="D1268" t="s">
        <v>839</v>
      </c>
      <c r="E1268">
        <v>7800</v>
      </c>
    </row>
    <row r="1269" spans="1:5" hidden="1">
      <c r="A1269" t="s">
        <v>785</v>
      </c>
      <c r="B1269">
        <v>509970267</v>
      </c>
      <c r="C1269" s="60">
        <v>45927</v>
      </c>
      <c r="D1269" t="s">
        <v>839</v>
      </c>
      <c r="E1269">
        <v>4100</v>
      </c>
    </row>
    <row r="1270" spans="1:5" hidden="1">
      <c r="A1270" t="s">
        <v>719</v>
      </c>
      <c r="B1270">
        <v>509981415</v>
      </c>
      <c r="C1270" s="60">
        <v>45927</v>
      </c>
      <c r="D1270" t="s">
        <v>839</v>
      </c>
      <c r="E1270">
        <v>5200</v>
      </c>
    </row>
    <row r="1271" spans="1:5" hidden="1">
      <c r="A1271" t="s">
        <v>786</v>
      </c>
      <c r="B1271">
        <v>509982341</v>
      </c>
      <c r="C1271" s="60">
        <v>45927</v>
      </c>
      <c r="D1271" t="s">
        <v>839</v>
      </c>
      <c r="E1271">
        <v>2549</v>
      </c>
    </row>
    <row r="1272" spans="1:5" hidden="1">
      <c r="A1272" t="s">
        <v>758</v>
      </c>
      <c r="B1272">
        <v>509988837</v>
      </c>
      <c r="C1272" s="60">
        <v>45927</v>
      </c>
      <c r="D1272" t="s">
        <v>839</v>
      </c>
      <c r="E1272">
        <v>2100</v>
      </c>
    </row>
    <row r="1273" spans="1:5" hidden="1">
      <c r="A1273" t="s">
        <v>838</v>
      </c>
      <c r="B1273">
        <v>509989174</v>
      </c>
      <c r="C1273" s="60">
        <v>45927</v>
      </c>
      <c r="D1273" t="s">
        <v>839</v>
      </c>
      <c r="E1273">
        <v>0</v>
      </c>
    </row>
    <row r="1274" spans="1:5" hidden="1">
      <c r="A1274" t="s">
        <v>742</v>
      </c>
      <c r="B1274">
        <v>509991836</v>
      </c>
      <c r="C1274" s="60">
        <v>45927</v>
      </c>
      <c r="D1274" t="s">
        <v>839</v>
      </c>
      <c r="E1274">
        <v>2079</v>
      </c>
    </row>
    <row r="1275" spans="1:5" hidden="1">
      <c r="A1275" t="s">
        <v>765</v>
      </c>
      <c r="B1275">
        <v>509996573</v>
      </c>
      <c r="C1275" s="60">
        <v>45927</v>
      </c>
      <c r="D1275" t="s">
        <v>839</v>
      </c>
      <c r="E1275">
        <v>0</v>
      </c>
    </row>
    <row r="1276" spans="1:5" hidden="1">
      <c r="A1276" t="s">
        <v>797</v>
      </c>
      <c r="B1276">
        <v>509999346</v>
      </c>
      <c r="C1276" s="60">
        <v>45927</v>
      </c>
      <c r="D1276" t="s">
        <v>839</v>
      </c>
      <c r="E1276">
        <v>2798</v>
      </c>
    </row>
    <row r="1277" spans="1:5" hidden="1">
      <c r="A1277" t="s">
        <v>796</v>
      </c>
      <c r="B1277">
        <v>510000939</v>
      </c>
      <c r="C1277" s="60">
        <v>45927</v>
      </c>
      <c r="D1277" t="s">
        <v>839</v>
      </c>
      <c r="E1277">
        <v>2599</v>
      </c>
    </row>
    <row r="1278" spans="1:5" hidden="1">
      <c r="A1278" t="s">
        <v>832</v>
      </c>
      <c r="B1278">
        <v>510006577</v>
      </c>
      <c r="C1278" s="60">
        <v>45927</v>
      </c>
      <c r="D1278" t="s">
        <v>839</v>
      </c>
      <c r="E1278">
        <v>12750</v>
      </c>
    </row>
    <row r="1279" spans="1:5" hidden="1">
      <c r="A1279" t="s">
        <v>737</v>
      </c>
      <c r="B1279">
        <v>510008622</v>
      </c>
      <c r="C1279" s="60">
        <v>45927</v>
      </c>
      <c r="D1279" t="s">
        <v>839</v>
      </c>
      <c r="E1279">
        <v>2850</v>
      </c>
    </row>
    <row r="1280" spans="1:5" hidden="1">
      <c r="A1280" t="s">
        <v>736</v>
      </c>
      <c r="B1280">
        <v>510008834</v>
      </c>
      <c r="C1280" s="60">
        <v>45927</v>
      </c>
      <c r="D1280" t="s">
        <v>839</v>
      </c>
      <c r="E1280">
        <v>1999</v>
      </c>
    </row>
    <row r="1281" spans="1:5" hidden="1">
      <c r="A1281" t="s">
        <v>752</v>
      </c>
      <c r="B1281">
        <v>510009300</v>
      </c>
      <c r="C1281" s="60">
        <v>45927</v>
      </c>
      <c r="D1281" t="s">
        <v>839</v>
      </c>
      <c r="E1281">
        <v>4644</v>
      </c>
    </row>
    <row r="1282" spans="1:5" hidden="1">
      <c r="A1282" t="s">
        <v>826</v>
      </c>
      <c r="B1282">
        <v>510011713</v>
      </c>
      <c r="C1282" s="60">
        <v>45927</v>
      </c>
      <c r="D1282" t="s">
        <v>839</v>
      </c>
      <c r="E1282">
        <v>6995</v>
      </c>
    </row>
    <row r="1283" spans="1:5" hidden="1">
      <c r="A1283" t="s">
        <v>836</v>
      </c>
      <c r="B1283">
        <v>510013951</v>
      </c>
      <c r="C1283" s="60">
        <v>45927</v>
      </c>
      <c r="D1283" t="s">
        <v>839</v>
      </c>
      <c r="E1283">
        <v>4349</v>
      </c>
    </row>
    <row r="1284" spans="1:5" hidden="1">
      <c r="A1284" t="s">
        <v>812</v>
      </c>
      <c r="B1284">
        <v>510018714</v>
      </c>
      <c r="C1284" s="60">
        <v>45927</v>
      </c>
      <c r="D1284" t="s">
        <v>839</v>
      </c>
      <c r="E1284">
        <v>0</v>
      </c>
    </row>
    <row r="1285" spans="1:5" hidden="1">
      <c r="A1285" t="s">
        <v>744</v>
      </c>
      <c r="B1285">
        <v>511922876</v>
      </c>
      <c r="C1285" s="60">
        <v>45927</v>
      </c>
      <c r="D1285" t="s">
        <v>839</v>
      </c>
      <c r="E1285">
        <v>3300</v>
      </c>
    </row>
    <row r="1286" spans="1:5" hidden="1">
      <c r="A1286" t="s">
        <v>750</v>
      </c>
      <c r="B1286">
        <v>511938454</v>
      </c>
      <c r="C1286" s="60">
        <v>45927</v>
      </c>
      <c r="D1286" t="s">
        <v>839</v>
      </c>
      <c r="E1286">
        <v>4500</v>
      </c>
    </row>
    <row r="1287" spans="1:5" hidden="1">
      <c r="A1287" t="s">
        <v>781</v>
      </c>
      <c r="B1287">
        <v>511940331</v>
      </c>
      <c r="C1287" s="60">
        <v>45927</v>
      </c>
      <c r="D1287" t="s">
        <v>839</v>
      </c>
      <c r="E1287">
        <v>1999</v>
      </c>
    </row>
    <row r="1288" spans="1:5" hidden="1">
      <c r="A1288" t="s">
        <v>733</v>
      </c>
      <c r="B1288">
        <v>511944000</v>
      </c>
      <c r="C1288" s="60">
        <v>45927</v>
      </c>
      <c r="D1288" t="s">
        <v>839</v>
      </c>
      <c r="E1288">
        <v>0</v>
      </c>
    </row>
    <row r="1289" spans="1:5" hidden="1">
      <c r="A1289" t="s">
        <v>732</v>
      </c>
      <c r="B1289">
        <v>511950596</v>
      </c>
      <c r="C1289" s="60">
        <v>45927</v>
      </c>
      <c r="D1289" t="s">
        <v>839</v>
      </c>
      <c r="E1289">
        <v>3499</v>
      </c>
    </row>
    <row r="1290" spans="1:5" hidden="1">
      <c r="A1290" t="s">
        <v>760</v>
      </c>
      <c r="B1290">
        <v>511950937</v>
      </c>
      <c r="C1290" s="60">
        <v>45927</v>
      </c>
      <c r="D1290" t="s">
        <v>839</v>
      </c>
      <c r="E1290">
        <v>1800</v>
      </c>
    </row>
    <row r="1291" spans="1:5" hidden="1">
      <c r="A1291" t="s">
        <v>767</v>
      </c>
      <c r="B1291">
        <v>512346679</v>
      </c>
      <c r="C1291" s="60">
        <v>45927</v>
      </c>
      <c r="D1291" t="s">
        <v>839</v>
      </c>
      <c r="E1291">
        <v>2490</v>
      </c>
    </row>
    <row r="1292" spans="1:5" hidden="1">
      <c r="A1292" t="s">
        <v>751</v>
      </c>
      <c r="B1292">
        <v>512346680</v>
      </c>
      <c r="C1292" s="60">
        <v>45927</v>
      </c>
      <c r="D1292" t="s">
        <v>839</v>
      </c>
      <c r="E1292">
        <v>2490</v>
      </c>
    </row>
    <row r="1293" spans="1:5" hidden="1">
      <c r="A1293" t="s">
        <v>754</v>
      </c>
      <c r="B1293">
        <v>513071041</v>
      </c>
      <c r="C1293" s="60">
        <v>45927</v>
      </c>
      <c r="D1293" t="s">
        <v>839</v>
      </c>
      <c r="E1293">
        <v>2700</v>
      </c>
    </row>
    <row r="1294" spans="1:5" hidden="1">
      <c r="A1294" t="s">
        <v>823</v>
      </c>
      <c r="B1294">
        <v>513539872</v>
      </c>
      <c r="C1294" s="60">
        <v>45927</v>
      </c>
      <c r="D1294" t="s">
        <v>839</v>
      </c>
      <c r="E1294">
        <v>1650</v>
      </c>
    </row>
    <row r="1295" spans="1:5" hidden="1">
      <c r="A1295" t="s">
        <v>777</v>
      </c>
      <c r="B1295">
        <v>513629128</v>
      </c>
      <c r="C1295" s="60">
        <v>45927</v>
      </c>
      <c r="D1295" t="s">
        <v>839</v>
      </c>
      <c r="E1295">
        <v>1189</v>
      </c>
    </row>
    <row r="1296" spans="1:5" hidden="1">
      <c r="A1296" t="s">
        <v>747</v>
      </c>
      <c r="B1296">
        <v>513656505</v>
      </c>
      <c r="C1296" s="60">
        <v>45927</v>
      </c>
      <c r="D1296" t="s">
        <v>839</v>
      </c>
      <c r="E1296">
        <v>7300</v>
      </c>
    </row>
    <row r="1297" spans="1:5" hidden="1">
      <c r="A1297" t="s">
        <v>773</v>
      </c>
      <c r="B1297">
        <v>514128002</v>
      </c>
      <c r="C1297" s="60">
        <v>45927</v>
      </c>
      <c r="D1297" t="s">
        <v>839</v>
      </c>
      <c r="E1297">
        <v>1500</v>
      </c>
    </row>
    <row r="1298" spans="1:5" hidden="1">
      <c r="A1298" t="s">
        <v>883</v>
      </c>
      <c r="B1298">
        <v>11553784</v>
      </c>
      <c r="C1298" s="60">
        <v>45929</v>
      </c>
      <c r="D1298" t="s">
        <v>947</v>
      </c>
      <c r="E1298">
        <v>0</v>
      </c>
    </row>
    <row r="1299" spans="1:5" hidden="1">
      <c r="A1299" t="s">
        <v>907</v>
      </c>
      <c r="B1299">
        <v>11553979</v>
      </c>
      <c r="C1299" s="60">
        <v>45929</v>
      </c>
      <c r="D1299" t="s">
        <v>947</v>
      </c>
      <c r="E1299">
        <v>570</v>
      </c>
    </row>
    <row r="1300" spans="1:5" hidden="1">
      <c r="A1300" t="s">
        <v>870</v>
      </c>
      <c r="B1300">
        <v>11554949</v>
      </c>
      <c r="C1300" s="60">
        <v>45929</v>
      </c>
      <c r="D1300" t="s">
        <v>947</v>
      </c>
      <c r="E1300">
        <v>974</v>
      </c>
    </row>
    <row r="1301" spans="1:5" hidden="1">
      <c r="A1301" t="s">
        <v>894</v>
      </c>
      <c r="B1301">
        <v>11555420</v>
      </c>
      <c r="C1301" s="60">
        <v>45929</v>
      </c>
      <c r="D1301" t="s">
        <v>947</v>
      </c>
      <c r="E1301">
        <v>800</v>
      </c>
    </row>
    <row r="1302" spans="1:5" hidden="1">
      <c r="A1302" t="s">
        <v>932</v>
      </c>
      <c r="B1302">
        <v>11555440</v>
      </c>
      <c r="C1302" s="60">
        <v>45929</v>
      </c>
      <c r="D1302" t="s">
        <v>947</v>
      </c>
      <c r="E1302">
        <v>400</v>
      </c>
    </row>
    <row r="1303" spans="1:5" hidden="1">
      <c r="A1303" t="s">
        <v>844</v>
      </c>
      <c r="B1303">
        <v>11555448</v>
      </c>
      <c r="C1303" s="60">
        <v>45929</v>
      </c>
      <c r="D1303" t="s">
        <v>947</v>
      </c>
      <c r="E1303">
        <v>799</v>
      </c>
    </row>
    <row r="1304" spans="1:5" hidden="1">
      <c r="A1304" t="s">
        <v>856</v>
      </c>
      <c r="B1304">
        <v>11555661</v>
      </c>
      <c r="C1304" s="60">
        <v>45929</v>
      </c>
      <c r="D1304" t="s">
        <v>947</v>
      </c>
      <c r="E1304">
        <v>0</v>
      </c>
    </row>
    <row r="1305" spans="1:5" hidden="1">
      <c r="A1305" t="s">
        <v>927</v>
      </c>
      <c r="B1305">
        <v>11557143</v>
      </c>
      <c r="C1305" s="60">
        <v>45929</v>
      </c>
      <c r="D1305" t="s">
        <v>947</v>
      </c>
      <c r="E1305">
        <v>0</v>
      </c>
    </row>
    <row r="1306" spans="1:5" hidden="1">
      <c r="A1306" t="s">
        <v>889</v>
      </c>
      <c r="B1306">
        <v>11743887</v>
      </c>
      <c r="C1306" s="60">
        <v>45929</v>
      </c>
      <c r="D1306" t="s">
        <v>947</v>
      </c>
      <c r="E1306">
        <v>1499</v>
      </c>
    </row>
    <row r="1307" spans="1:5" hidden="1">
      <c r="A1307" t="s">
        <v>871</v>
      </c>
      <c r="B1307">
        <v>11891580</v>
      </c>
      <c r="C1307" s="60">
        <v>45929</v>
      </c>
      <c r="D1307" t="s">
        <v>947</v>
      </c>
      <c r="E1307">
        <v>545</v>
      </c>
    </row>
    <row r="1308" spans="1:5" hidden="1">
      <c r="A1308" t="s">
        <v>857</v>
      </c>
      <c r="B1308">
        <v>11901635</v>
      </c>
      <c r="C1308" s="60">
        <v>45929</v>
      </c>
      <c r="D1308" t="s">
        <v>947</v>
      </c>
      <c r="E1308">
        <v>1140</v>
      </c>
    </row>
    <row r="1309" spans="1:5" hidden="1">
      <c r="A1309" t="s">
        <v>880</v>
      </c>
      <c r="B1309">
        <v>11905390</v>
      </c>
      <c r="C1309" s="60">
        <v>45929</v>
      </c>
      <c r="D1309" t="s">
        <v>947</v>
      </c>
      <c r="E1309">
        <v>2028</v>
      </c>
    </row>
    <row r="1310" spans="1:5" hidden="1">
      <c r="A1310" t="s">
        <v>881</v>
      </c>
      <c r="B1310">
        <v>11908293</v>
      </c>
      <c r="C1310" s="60">
        <v>45929</v>
      </c>
      <c r="D1310" t="s">
        <v>947</v>
      </c>
      <c r="E1310">
        <v>1946</v>
      </c>
    </row>
    <row r="1311" spans="1:5" hidden="1">
      <c r="A1311" t="s">
        <v>902</v>
      </c>
      <c r="B1311">
        <v>11910476</v>
      </c>
      <c r="C1311" s="60">
        <v>45929</v>
      </c>
      <c r="D1311" t="s">
        <v>947</v>
      </c>
      <c r="E1311">
        <v>1151</v>
      </c>
    </row>
    <row r="1312" spans="1:5" hidden="1">
      <c r="A1312" t="s">
        <v>841</v>
      </c>
      <c r="B1312">
        <v>11912118</v>
      </c>
      <c r="C1312" s="60">
        <v>45929</v>
      </c>
      <c r="D1312" t="s">
        <v>947</v>
      </c>
      <c r="E1312">
        <v>2473</v>
      </c>
    </row>
    <row r="1313" spans="1:5" hidden="1">
      <c r="A1313" t="s">
        <v>873</v>
      </c>
      <c r="B1313">
        <v>11913136</v>
      </c>
      <c r="C1313" s="60">
        <v>45929</v>
      </c>
      <c r="D1313" t="s">
        <v>947</v>
      </c>
      <c r="E1313">
        <v>590</v>
      </c>
    </row>
    <row r="1314" spans="1:5" hidden="1">
      <c r="A1314" t="s">
        <v>862</v>
      </c>
      <c r="B1314">
        <v>11915868</v>
      </c>
      <c r="C1314" s="60">
        <v>45929</v>
      </c>
      <c r="D1314" t="s">
        <v>947</v>
      </c>
      <c r="E1314">
        <v>940</v>
      </c>
    </row>
    <row r="1315" spans="1:5" hidden="1">
      <c r="A1315" t="s">
        <v>878</v>
      </c>
      <c r="B1315">
        <v>11917118</v>
      </c>
      <c r="C1315" s="60">
        <v>45929</v>
      </c>
      <c r="D1315" t="s">
        <v>947</v>
      </c>
      <c r="E1315">
        <v>11625</v>
      </c>
    </row>
    <row r="1316" spans="1:5" hidden="1">
      <c r="A1316" t="s">
        <v>911</v>
      </c>
      <c r="B1316">
        <v>12100330</v>
      </c>
      <c r="C1316" s="60">
        <v>45929</v>
      </c>
      <c r="D1316" t="s">
        <v>947</v>
      </c>
      <c r="E1316">
        <v>506</v>
      </c>
    </row>
    <row r="1317" spans="1:5" hidden="1">
      <c r="A1317" t="s">
        <v>867</v>
      </c>
      <c r="B1317">
        <v>12102050</v>
      </c>
      <c r="C1317" s="60">
        <v>45929</v>
      </c>
      <c r="D1317" t="s">
        <v>947</v>
      </c>
      <c r="E1317">
        <v>1292</v>
      </c>
    </row>
    <row r="1318" spans="1:5" hidden="1">
      <c r="A1318" t="s">
        <v>887</v>
      </c>
      <c r="B1318">
        <v>12102465</v>
      </c>
      <c r="C1318" s="60">
        <v>45929</v>
      </c>
      <c r="D1318" t="s">
        <v>947</v>
      </c>
      <c r="E1318">
        <v>950</v>
      </c>
    </row>
    <row r="1319" spans="1:5" hidden="1">
      <c r="A1319" t="s">
        <v>875</v>
      </c>
      <c r="B1319">
        <v>12102493</v>
      </c>
      <c r="C1319" s="60">
        <v>45929</v>
      </c>
      <c r="D1319" t="s">
        <v>947</v>
      </c>
      <c r="E1319">
        <v>625</v>
      </c>
    </row>
    <row r="1320" spans="1:5" hidden="1">
      <c r="A1320" t="s">
        <v>936</v>
      </c>
      <c r="B1320">
        <v>12104005</v>
      </c>
      <c r="C1320" s="60">
        <v>45929</v>
      </c>
      <c r="D1320" t="s">
        <v>947</v>
      </c>
      <c r="E1320">
        <v>549</v>
      </c>
    </row>
    <row r="1321" spans="1:5" hidden="1">
      <c r="A1321" t="s">
        <v>840</v>
      </c>
      <c r="B1321">
        <v>12105158</v>
      </c>
      <c r="C1321" s="60">
        <v>45929</v>
      </c>
      <c r="D1321" t="s">
        <v>947</v>
      </c>
      <c r="E1321">
        <v>2520</v>
      </c>
    </row>
    <row r="1322" spans="1:5" hidden="1">
      <c r="A1322" t="s">
        <v>847</v>
      </c>
      <c r="B1322">
        <v>12105261</v>
      </c>
      <c r="C1322" s="60">
        <v>45929</v>
      </c>
      <c r="D1322" t="s">
        <v>947</v>
      </c>
      <c r="E1322">
        <v>0</v>
      </c>
    </row>
    <row r="1323" spans="1:5" hidden="1">
      <c r="A1323" t="s">
        <v>938</v>
      </c>
      <c r="B1323">
        <v>12106324</v>
      </c>
      <c r="C1323" s="60">
        <v>45929</v>
      </c>
      <c r="D1323" t="s">
        <v>947</v>
      </c>
      <c r="E1323">
        <v>1220</v>
      </c>
    </row>
    <row r="1324" spans="1:5" hidden="1">
      <c r="A1324" t="s">
        <v>912</v>
      </c>
      <c r="B1324">
        <v>12108243</v>
      </c>
      <c r="C1324" s="60">
        <v>45929</v>
      </c>
      <c r="D1324" t="s">
        <v>947</v>
      </c>
      <c r="E1324">
        <v>529</v>
      </c>
    </row>
    <row r="1325" spans="1:5" hidden="1">
      <c r="A1325" t="s">
        <v>906</v>
      </c>
      <c r="B1325">
        <v>12108340</v>
      </c>
      <c r="C1325" s="60">
        <v>45929</v>
      </c>
      <c r="D1325" t="s">
        <v>947</v>
      </c>
      <c r="E1325">
        <v>0</v>
      </c>
    </row>
    <row r="1326" spans="1:5" hidden="1">
      <c r="A1326" t="s">
        <v>929</v>
      </c>
      <c r="B1326">
        <v>12108744</v>
      </c>
      <c r="C1326" s="60">
        <v>45929</v>
      </c>
      <c r="D1326" t="s">
        <v>947</v>
      </c>
      <c r="E1326">
        <v>455</v>
      </c>
    </row>
    <row r="1327" spans="1:5" hidden="1">
      <c r="A1327" t="s">
        <v>904</v>
      </c>
      <c r="B1327">
        <v>12109263</v>
      </c>
      <c r="C1327" s="60">
        <v>45929</v>
      </c>
      <c r="D1327" t="s">
        <v>947</v>
      </c>
      <c r="E1327">
        <v>233</v>
      </c>
    </row>
    <row r="1328" spans="1:5" hidden="1">
      <c r="A1328" t="s">
        <v>940</v>
      </c>
      <c r="B1328">
        <v>12109307</v>
      </c>
      <c r="C1328" s="60">
        <v>45929</v>
      </c>
      <c r="D1328" t="s">
        <v>947</v>
      </c>
      <c r="E1328">
        <v>312</v>
      </c>
    </row>
    <row r="1329" spans="1:5" hidden="1">
      <c r="A1329" t="s">
        <v>854</v>
      </c>
      <c r="B1329">
        <v>12110567</v>
      </c>
      <c r="C1329" s="60">
        <v>45929</v>
      </c>
      <c r="D1329" t="s">
        <v>947</v>
      </c>
      <c r="E1329">
        <v>370</v>
      </c>
    </row>
    <row r="1330" spans="1:5" hidden="1">
      <c r="A1330" t="s">
        <v>846</v>
      </c>
      <c r="B1330">
        <v>12110896</v>
      </c>
      <c r="C1330" s="60">
        <v>45929</v>
      </c>
      <c r="D1330" t="s">
        <v>947</v>
      </c>
      <c r="E1330">
        <v>1261</v>
      </c>
    </row>
    <row r="1331" spans="1:5" hidden="1">
      <c r="A1331" t="s">
        <v>910</v>
      </c>
      <c r="B1331">
        <v>12111278</v>
      </c>
      <c r="C1331" s="60">
        <v>45929</v>
      </c>
      <c r="D1331" t="s">
        <v>947</v>
      </c>
      <c r="E1331">
        <v>629</v>
      </c>
    </row>
    <row r="1332" spans="1:5" hidden="1">
      <c r="A1332" t="s">
        <v>890</v>
      </c>
      <c r="B1332">
        <v>12111301</v>
      </c>
      <c r="C1332" s="60">
        <v>45929</v>
      </c>
      <c r="D1332" t="s">
        <v>947</v>
      </c>
      <c r="E1332">
        <v>1179</v>
      </c>
    </row>
    <row r="1333" spans="1:5" hidden="1">
      <c r="A1333" t="s">
        <v>853</v>
      </c>
      <c r="B1333">
        <v>12111479</v>
      </c>
      <c r="C1333" s="60">
        <v>45929</v>
      </c>
      <c r="D1333" t="s">
        <v>947</v>
      </c>
      <c r="E1333">
        <v>379</v>
      </c>
    </row>
    <row r="1334" spans="1:5" hidden="1">
      <c r="A1334" t="s">
        <v>920</v>
      </c>
      <c r="B1334">
        <v>12111480</v>
      </c>
      <c r="C1334" s="60">
        <v>45929</v>
      </c>
      <c r="D1334" t="s">
        <v>947</v>
      </c>
      <c r="E1334">
        <v>0</v>
      </c>
    </row>
    <row r="1335" spans="1:5" hidden="1">
      <c r="A1335" t="s">
        <v>869</v>
      </c>
      <c r="B1335">
        <v>12111528</v>
      </c>
      <c r="C1335" s="60">
        <v>45929</v>
      </c>
      <c r="D1335" t="s">
        <v>947</v>
      </c>
      <c r="E1335">
        <v>986</v>
      </c>
    </row>
    <row r="1336" spans="1:5" hidden="1">
      <c r="A1336" t="s">
        <v>891</v>
      </c>
      <c r="B1336">
        <v>12112057</v>
      </c>
      <c r="C1336" s="60">
        <v>45929</v>
      </c>
      <c r="D1336" t="s">
        <v>947</v>
      </c>
      <c r="E1336">
        <v>4812</v>
      </c>
    </row>
    <row r="1337" spans="1:5" hidden="1">
      <c r="A1337" t="s">
        <v>917</v>
      </c>
      <c r="B1337">
        <v>12112291</v>
      </c>
      <c r="C1337" s="60">
        <v>45929</v>
      </c>
      <c r="D1337" t="s">
        <v>947</v>
      </c>
      <c r="E1337">
        <v>0</v>
      </c>
    </row>
    <row r="1338" spans="1:5" hidden="1">
      <c r="A1338" t="s">
        <v>943</v>
      </c>
      <c r="B1338">
        <v>12112430</v>
      </c>
      <c r="C1338" s="60">
        <v>45929</v>
      </c>
      <c r="D1338" t="s">
        <v>947</v>
      </c>
      <c r="E1338">
        <v>895</v>
      </c>
    </row>
    <row r="1339" spans="1:5" hidden="1">
      <c r="A1339" t="s">
        <v>934</v>
      </c>
      <c r="B1339">
        <v>12112581</v>
      </c>
      <c r="C1339" s="60">
        <v>45929</v>
      </c>
      <c r="D1339" t="s">
        <v>947</v>
      </c>
      <c r="E1339">
        <v>2096</v>
      </c>
    </row>
    <row r="1340" spans="1:5" hidden="1">
      <c r="A1340" t="s">
        <v>915</v>
      </c>
      <c r="B1340">
        <v>12112741</v>
      </c>
      <c r="C1340" s="60">
        <v>45929</v>
      </c>
      <c r="D1340" t="s">
        <v>947</v>
      </c>
      <c r="E1340">
        <v>942</v>
      </c>
    </row>
    <row r="1341" spans="1:5" hidden="1">
      <c r="A1341" t="s">
        <v>892</v>
      </c>
      <c r="B1341">
        <v>12114287</v>
      </c>
      <c r="C1341" s="60">
        <v>45929</v>
      </c>
      <c r="D1341" t="s">
        <v>947</v>
      </c>
      <c r="E1341">
        <v>1049</v>
      </c>
    </row>
    <row r="1342" spans="1:5" hidden="1">
      <c r="A1342" t="s">
        <v>946</v>
      </c>
      <c r="B1342">
        <v>12114325</v>
      </c>
      <c r="C1342" s="60">
        <v>45929</v>
      </c>
      <c r="D1342" t="s">
        <v>947</v>
      </c>
      <c r="E1342">
        <v>1175</v>
      </c>
    </row>
    <row r="1343" spans="1:5" hidden="1">
      <c r="A1343" t="s">
        <v>879</v>
      </c>
      <c r="B1343">
        <v>12114461</v>
      </c>
      <c r="C1343" s="60">
        <v>45929</v>
      </c>
      <c r="D1343" t="s">
        <v>947</v>
      </c>
      <c r="E1343">
        <v>2829</v>
      </c>
    </row>
    <row r="1344" spans="1:5" hidden="1">
      <c r="A1344" t="s">
        <v>864</v>
      </c>
      <c r="B1344">
        <v>12115758</v>
      </c>
      <c r="C1344" s="60">
        <v>45929</v>
      </c>
      <c r="D1344" t="s">
        <v>947</v>
      </c>
      <c r="E1344">
        <v>986</v>
      </c>
    </row>
    <row r="1345" spans="1:5" hidden="1">
      <c r="A1345" t="s">
        <v>845</v>
      </c>
      <c r="B1345">
        <v>12116854</v>
      </c>
      <c r="C1345" s="60">
        <v>45929</v>
      </c>
      <c r="D1345" t="s">
        <v>947</v>
      </c>
      <c r="E1345">
        <v>0</v>
      </c>
    </row>
    <row r="1346" spans="1:5" hidden="1">
      <c r="A1346" t="s">
        <v>909</v>
      </c>
      <c r="B1346">
        <v>12118744</v>
      </c>
      <c r="C1346" s="60">
        <v>45929</v>
      </c>
      <c r="D1346" t="s">
        <v>947</v>
      </c>
      <c r="E1346">
        <v>0</v>
      </c>
    </row>
    <row r="1347" spans="1:5" hidden="1">
      <c r="A1347" t="s">
        <v>930</v>
      </c>
      <c r="B1347">
        <v>12119645</v>
      </c>
      <c r="C1347" s="60">
        <v>45929</v>
      </c>
      <c r="D1347" t="s">
        <v>947</v>
      </c>
      <c r="E1347">
        <v>500</v>
      </c>
    </row>
    <row r="1348" spans="1:5" hidden="1">
      <c r="A1348" t="s">
        <v>898</v>
      </c>
      <c r="B1348">
        <v>12119703</v>
      </c>
      <c r="C1348" s="60">
        <v>45929</v>
      </c>
      <c r="D1348" t="s">
        <v>947</v>
      </c>
      <c r="E1348">
        <v>1136</v>
      </c>
    </row>
    <row r="1349" spans="1:5" hidden="1">
      <c r="A1349" t="s">
        <v>872</v>
      </c>
      <c r="B1349">
        <v>12119722</v>
      </c>
      <c r="C1349" s="60">
        <v>45929</v>
      </c>
      <c r="D1349" t="s">
        <v>947</v>
      </c>
      <c r="E1349">
        <v>794</v>
      </c>
    </row>
    <row r="1350" spans="1:5" hidden="1">
      <c r="A1350" t="s">
        <v>888</v>
      </c>
      <c r="B1350">
        <v>12119924</v>
      </c>
      <c r="C1350" s="60">
        <v>45929</v>
      </c>
      <c r="D1350" t="s">
        <v>947</v>
      </c>
      <c r="E1350">
        <v>479</v>
      </c>
    </row>
    <row r="1351" spans="1:5" hidden="1">
      <c r="A1351" t="s">
        <v>849</v>
      </c>
      <c r="B1351">
        <v>12122901</v>
      </c>
      <c r="C1351" s="60">
        <v>45929</v>
      </c>
      <c r="D1351" t="s">
        <v>947</v>
      </c>
      <c r="E1351">
        <v>1276</v>
      </c>
    </row>
    <row r="1352" spans="1:5" hidden="1">
      <c r="A1352" t="s">
        <v>868</v>
      </c>
      <c r="B1352">
        <v>12126022</v>
      </c>
      <c r="C1352" s="60">
        <v>45929</v>
      </c>
      <c r="D1352" t="s">
        <v>947</v>
      </c>
      <c r="E1352">
        <v>1799</v>
      </c>
    </row>
    <row r="1353" spans="1:5" hidden="1">
      <c r="A1353" t="s">
        <v>860</v>
      </c>
      <c r="B1353">
        <v>12126085</v>
      </c>
      <c r="C1353" s="60">
        <v>45929</v>
      </c>
      <c r="D1353" t="s">
        <v>947</v>
      </c>
      <c r="E1353">
        <v>1200</v>
      </c>
    </row>
    <row r="1354" spans="1:5" hidden="1">
      <c r="A1354" t="s">
        <v>855</v>
      </c>
      <c r="B1354">
        <v>12126105</v>
      </c>
      <c r="C1354" s="60">
        <v>45929</v>
      </c>
      <c r="D1354" t="s">
        <v>947</v>
      </c>
      <c r="E1354">
        <v>605</v>
      </c>
    </row>
    <row r="1355" spans="1:5" hidden="1">
      <c r="A1355" t="s">
        <v>941</v>
      </c>
      <c r="B1355">
        <v>12127759</v>
      </c>
      <c r="C1355" s="60">
        <v>45929</v>
      </c>
      <c r="D1355" t="s">
        <v>947</v>
      </c>
      <c r="E1355">
        <v>733</v>
      </c>
    </row>
    <row r="1356" spans="1:5" hidden="1">
      <c r="A1356" t="s">
        <v>905</v>
      </c>
      <c r="B1356">
        <v>12129131</v>
      </c>
      <c r="C1356" s="60">
        <v>45929</v>
      </c>
      <c r="D1356" t="s">
        <v>947</v>
      </c>
      <c r="E1356">
        <v>756</v>
      </c>
    </row>
    <row r="1357" spans="1:5" hidden="1">
      <c r="A1357" t="s">
        <v>876</v>
      </c>
      <c r="B1357">
        <v>12130467</v>
      </c>
      <c r="C1357" s="60">
        <v>45929</v>
      </c>
      <c r="D1357" t="s">
        <v>947</v>
      </c>
      <c r="E1357">
        <v>1430</v>
      </c>
    </row>
    <row r="1358" spans="1:5" hidden="1">
      <c r="A1358" t="s">
        <v>851</v>
      </c>
      <c r="B1358">
        <v>60805427</v>
      </c>
      <c r="C1358" s="60">
        <v>45929</v>
      </c>
      <c r="D1358" t="s">
        <v>947</v>
      </c>
      <c r="E1358">
        <v>2500</v>
      </c>
    </row>
    <row r="1359" spans="1:5" hidden="1">
      <c r="A1359" t="s">
        <v>945</v>
      </c>
      <c r="B1359">
        <v>60842660</v>
      </c>
      <c r="C1359" s="60">
        <v>45929</v>
      </c>
      <c r="D1359" t="s">
        <v>947</v>
      </c>
      <c r="E1359">
        <v>7299</v>
      </c>
    </row>
    <row r="1360" spans="1:5" hidden="1">
      <c r="A1360" t="s">
        <v>914</v>
      </c>
      <c r="B1360">
        <v>60854548</v>
      </c>
      <c r="C1360" s="60">
        <v>45929</v>
      </c>
      <c r="D1360" t="s">
        <v>947</v>
      </c>
      <c r="E1360">
        <v>2690</v>
      </c>
    </row>
    <row r="1361" spans="1:5" hidden="1">
      <c r="A1361" t="s">
        <v>893</v>
      </c>
      <c r="B1361">
        <v>503531273</v>
      </c>
      <c r="C1361" s="60">
        <v>45929</v>
      </c>
      <c r="D1361" t="s">
        <v>947</v>
      </c>
      <c r="E1361">
        <v>1500</v>
      </c>
    </row>
    <row r="1362" spans="1:5" hidden="1">
      <c r="A1362" t="s">
        <v>848</v>
      </c>
      <c r="B1362">
        <v>504251917</v>
      </c>
      <c r="C1362" s="60">
        <v>45929</v>
      </c>
      <c r="D1362" t="s">
        <v>947</v>
      </c>
      <c r="E1362">
        <v>7000</v>
      </c>
    </row>
    <row r="1363" spans="1:5" hidden="1">
      <c r="A1363" t="s">
        <v>865</v>
      </c>
      <c r="B1363">
        <v>504339503</v>
      </c>
      <c r="C1363" s="60">
        <v>45929</v>
      </c>
      <c r="D1363" t="s">
        <v>947</v>
      </c>
      <c r="E1363">
        <v>7300</v>
      </c>
    </row>
    <row r="1364" spans="1:5" hidden="1">
      <c r="A1364" t="s">
        <v>874</v>
      </c>
      <c r="B1364">
        <v>506747229</v>
      </c>
      <c r="C1364" s="60">
        <v>45929</v>
      </c>
      <c r="D1364" t="s">
        <v>947</v>
      </c>
      <c r="E1364">
        <v>2600</v>
      </c>
    </row>
    <row r="1365" spans="1:5" hidden="1">
      <c r="A1365" t="s">
        <v>928</v>
      </c>
      <c r="B1365">
        <v>507261841</v>
      </c>
      <c r="C1365" s="60">
        <v>45929</v>
      </c>
      <c r="D1365" t="s">
        <v>947</v>
      </c>
      <c r="E1365">
        <v>1180</v>
      </c>
    </row>
    <row r="1366" spans="1:5" hidden="1">
      <c r="A1366" t="s">
        <v>918</v>
      </c>
      <c r="B1366">
        <v>507539741</v>
      </c>
      <c r="C1366" s="60">
        <v>45929</v>
      </c>
      <c r="D1366" t="s">
        <v>947</v>
      </c>
      <c r="E1366">
        <v>3000</v>
      </c>
    </row>
    <row r="1367" spans="1:5" hidden="1">
      <c r="A1367" t="s">
        <v>899</v>
      </c>
      <c r="B1367">
        <v>507587509</v>
      </c>
      <c r="C1367" s="60">
        <v>45929</v>
      </c>
      <c r="D1367" t="s">
        <v>947</v>
      </c>
      <c r="E1367">
        <v>1850</v>
      </c>
    </row>
    <row r="1368" spans="1:5" hidden="1">
      <c r="A1368" t="s">
        <v>882</v>
      </c>
      <c r="B1368">
        <v>507824891</v>
      </c>
      <c r="C1368" s="60">
        <v>45929</v>
      </c>
      <c r="D1368" t="s">
        <v>947</v>
      </c>
      <c r="E1368">
        <v>1500</v>
      </c>
    </row>
    <row r="1369" spans="1:5" hidden="1">
      <c r="A1369" t="s">
        <v>935</v>
      </c>
      <c r="B1369">
        <v>508310619</v>
      </c>
      <c r="C1369" s="60">
        <v>45929</v>
      </c>
      <c r="D1369" t="s">
        <v>947</v>
      </c>
      <c r="E1369">
        <v>2299</v>
      </c>
    </row>
    <row r="1370" spans="1:5" hidden="1">
      <c r="A1370" t="s">
        <v>863</v>
      </c>
      <c r="B1370">
        <v>508311280</v>
      </c>
      <c r="C1370" s="60">
        <v>45929</v>
      </c>
      <c r="D1370" t="s">
        <v>947</v>
      </c>
      <c r="E1370">
        <v>998</v>
      </c>
    </row>
    <row r="1371" spans="1:5" hidden="1">
      <c r="A1371" t="s">
        <v>926</v>
      </c>
      <c r="B1371">
        <v>508324035</v>
      </c>
      <c r="C1371" s="60">
        <v>45929</v>
      </c>
      <c r="D1371" t="s">
        <v>947</v>
      </c>
      <c r="E1371">
        <v>2250</v>
      </c>
    </row>
    <row r="1372" spans="1:5" hidden="1">
      <c r="A1372" t="s">
        <v>913</v>
      </c>
      <c r="B1372">
        <v>509876498</v>
      </c>
      <c r="C1372" s="60">
        <v>45929</v>
      </c>
      <c r="D1372" t="s">
        <v>947</v>
      </c>
      <c r="E1372">
        <v>200</v>
      </c>
    </row>
    <row r="1373" spans="1:5" hidden="1">
      <c r="A1373" t="s">
        <v>861</v>
      </c>
      <c r="B1373">
        <v>509940100</v>
      </c>
      <c r="C1373" s="60">
        <v>45929</v>
      </c>
      <c r="D1373" t="s">
        <v>947</v>
      </c>
      <c r="E1373">
        <v>1549</v>
      </c>
    </row>
    <row r="1374" spans="1:5" hidden="1">
      <c r="A1374" t="s">
        <v>859</v>
      </c>
      <c r="B1374">
        <v>509989375</v>
      </c>
      <c r="C1374" s="60">
        <v>45929</v>
      </c>
      <c r="D1374" t="s">
        <v>947</v>
      </c>
      <c r="E1374">
        <v>1700</v>
      </c>
    </row>
    <row r="1375" spans="1:5" hidden="1">
      <c r="A1375" t="s">
        <v>896</v>
      </c>
      <c r="B1375">
        <v>509995597</v>
      </c>
      <c r="C1375" s="60">
        <v>45929</v>
      </c>
      <c r="D1375" t="s">
        <v>947</v>
      </c>
      <c r="E1375">
        <v>14413</v>
      </c>
    </row>
    <row r="1376" spans="1:5" hidden="1">
      <c r="A1376" t="s">
        <v>942</v>
      </c>
      <c r="B1376">
        <v>510005187</v>
      </c>
      <c r="C1376" s="60">
        <v>45929</v>
      </c>
      <c r="D1376" t="s">
        <v>947</v>
      </c>
      <c r="E1376">
        <v>2998</v>
      </c>
    </row>
    <row r="1377" spans="1:5" hidden="1">
      <c r="A1377" t="s">
        <v>850</v>
      </c>
      <c r="B1377">
        <v>510005803</v>
      </c>
      <c r="C1377" s="60">
        <v>45929</v>
      </c>
      <c r="D1377" t="s">
        <v>947</v>
      </c>
      <c r="E1377">
        <v>950</v>
      </c>
    </row>
    <row r="1378" spans="1:5" hidden="1">
      <c r="A1378" t="s">
        <v>885</v>
      </c>
      <c r="B1378">
        <v>510011935</v>
      </c>
      <c r="C1378" s="60">
        <v>45929</v>
      </c>
      <c r="D1378" t="s">
        <v>947</v>
      </c>
      <c r="E1378">
        <v>1250</v>
      </c>
    </row>
    <row r="1379" spans="1:5" hidden="1">
      <c r="A1379" t="s">
        <v>919</v>
      </c>
      <c r="B1379">
        <v>510014193</v>
      </c>
      <c r="C1379" s="60">
        <v>45929</v>
      </c>
      <c r="D1379" t="s">
        <v>947</v>
      </c>
      <c r="E1379">
        <v>2300</v>
      </c>
    </row>
    <row r="1380" spans="1:5" hidden="1">
      <c r="A1380" t="s">
        <v>866</v>
      </c>
      <c r="B1380">
        <v>510024477</v>
      </c>
      <c r="C1380" s="60">
        <v>45929</v>
      </c>
      <c r="D1380" t="s">
        <v>947</v>
      </c>
      <c r="E1380">
        <v>5349</v>
      </c>
    </row>
    <row r="1381" spans="1:5" hidden="1">
      <c r="A1381" t="s">
        <v>937</v>
      </c>
      <c r="B1381">
        <v>510025004</v>
      </c>
      <c r="C1381" s="60">
        <v>45929</v>
      </c>
      <c r="D1381" t="s">
        <v>947</v>
      </c>
      <c r="E1381">
        <v>3250</v>
      </c>
    </row>
    <row r="1382" spans="1:5" hidden="1">
      <c r="A1382" t="s">
        <v>933</v>
      </c>
      <c r="B1382">
        <v>510031477</v>
      </c>
      <c r="C1382" s="60">
        <v>45929</v>
      </c>
      <c r="D1382" t="s">
        <v>947</v>
      </c>
      <c r="E1382">
        <v>950</v>
      </c>
    </row>
    <row r="1383" spans="1:5" hidden="1">
      <c r="A1383" t="s">
        <v>931</v>
      </c>
      <c r="B1383">
        <v>510032194</v>
      </c>
      <c r="C1383" s="60">
        <v>45929</v>
      </c>
      <c r="D1383" t="s">
        <v>947</v>
      </c>
      <c r="E1383">
        <v>2698</v>
      </c>
    </row>
    <row r="1384" spans="1:5" hidden="1">
      <c r="A1384" t="s">
        <v>908</v>
      </c>
      <c r="B1384">
        <v>510047315</v>
      </c>
      <c r="C1384" s="60">
        <v>45929</v>
      </c>
      <c r="D1384" t="s">
        <v>947</v>
      </c>
      <c r="E1384">
        <v>0</v>
      </c>
    </row>
    <row r="1385" spans="1:5" hidden="1">
      <c r="A1385" t="s">
        <v>944</v>
      </c>
      <c r="B1385">
        <v>510051183</v>
      </c>
      <c r="C1385" s="60">
        <v>45929</v>
      </c>
      <c r="D1385" t="s">
        <v>947</v>
      </c>
      <c r="E1385">
        <v>3848</v>
      </c>
    </row>
    <row r="1386" spans="1:5" hidden="1">
      <c r="A1386" t="s">
        <v>939</v>
      </c>
      <c r="B1386">
        <v>510061925</v>
      </c>
      <c r="C1386" s="60">
        <v>45929</v>
      </c>
      <c r="D1386" t="s">
        <v>947</v>
      </c>
      <c r="E1386">
        <v>17069</v>
      </c>
    </row>
    <row r="1387" spans="1:5" hidden="1">
      <c r="A1387" t="s">
        <v>852</v>
      </c>
      <c r="B1387">
        <v>510065477</v>
      </c>
      <c r="C1387" s="60">
        <v>45929</v>
      </c>
      <c r="D1387" t="s">
        <v>947</v>
      </c>
      <c r="E1387">
        <v>3299</v>
      </c>
    </row>
    <row r="1388" spans="1:5" hidden="1">
      <c r="A1388" t="s">
        <v>877</v>
      </c>
      <c r="B1388">
        <v>511922408</v>
      </c>
      <c r="C1388" s="60">
        <v>45929</v>
      </c>
      <c r="D1388" t="s">
        <v>947</v>
      </c>
      <c r="E1388">
        <v>0</v>
      </c>
    </row>
    <row r="1389" spans="1:5" hidden="1">
      <c r="A1389" t="s">
        <v>916</v>
      </c>
      <c r="B1389">
        <v>511946973</v>
      </c>
      <c r="C1389" s="60">
        <v>45929</v>
      </c>
      <c r="D1389" t="s">
        <v>947</v>
      </c>
      <c r="E1389">
        <v>2350</v>
      </c>
    </row>
    <row r="1390" spans="1:5" hidden="1">
      <c r="A1390" t="s">
        <v>843</v>
      </c>
      <c r="B1390">
        <v>511950175</v>
      </c>
      <c r="C1390" s="60">
        <v>45929</v>
      </c>
      <c r="D1390" t="s">
        <v>947</v>
      </c>
      <c r="E1390">
        <v>6498</v>
      </c>
    </row>
    <row r="1391" spans="1:5" hidden="1">
      <c r="A1391" t="s">
        <v>884</v>
      </c>
      <c r="B1391">
        <v>511952562</v>
      </c>
      <c r="C1391" s="60">
        <v>45929</v>
      </c>
      <c r="D1391" t="s">
        <v>947</v>
      </c>
      <c r="E1391">
        <v>1500</v>
      </c>
    </row>
    <row r="1392" spans="1:5" hidden="1">
      <c r="A1392" t="s">
        <v>900</v>
      </c>
      <c r="B1392">
        <v>511961209</v>
      </c>
      <c r="C1392" s="60">
        <v>45929</v>
      </c>
      <c r="D1392" t="s">
        <v>947</v>
      </c>
      <c r="E1392">
        <v>1900</v>
      </c>
    </row>
    <row r="1393" spans="1:5" hidden="1">
      <c r="A1393" t="s">
        <v>858</v>
      </c>
      <c r="B1393">
        <v>511962655</v>
      </c>
      <c r="C1393" s="60">
        <v>45929</v>
      </c>
      <c r="D1393" t="s">
        <v>947</v>
      </c>
      <c r="E1393">
        <v>2199</v>
      </c>
    </row>
    <row r="1394" spans="1:5" hidden="1">
      <c r="A1394" t="s">
        <v>925</v>
      </c>
      <c r="B1394">
        <v>511963454</v>
      </c>
      <c r="C1394" s="60">
        <v>45929</v>
      </c>
      <c r="D1394" t="s">
        <v>947</v>
      </c>
      <c r="E1394">
        <v>1700</v>
      </c>
    </row>
    <row r="1395" spans="1:5" hidden="1">
      <c r="A1395" t="s">
        <v>901</v>
      </c>
      <c r="B1395">
        <v>512346661</v>
      </c>
      <c r="C1395" s="60">
        <v>45929</v>
      </c>
      <c r="D1395" t="s">
        <v>947</v>
      </c>
      <c r="E1395">
        <v>2990</v>
      </c>
    </row>
    <row r="1396" spans="1:5" hidden="1">
      <c r="A1396" t="s">
        <v>922</v>
      </c>
      <c r="B1396">
        <v>512347777</v>
      </c>
      <c r="C1396" s="60">
        <v>45929</v>
      </c>
      <c r="D1396" t="s">
        <v>947</v>
      </c>
      <c r="E1396">
        <v>1599</v>
      </c>
    </row>
    <row r="1397" spans="1:5" hidden="1">
      <c r="A1397" t="s">
        <v>897</v>
      </c>
      <c r="B1397">
        <v>512349799</v>
      </c>
      <c r="C1397" s="60">
        <v>45929</v>
      </c>
      <c r="D1397" t="s">
        <v>947</v>
      </c>
      <c r="E1397">
        <v>1599</v>
      </c>
    </row>
    <row r="1398" spans="1:5" hidden="1">
      <c r="A1398" t="s">
        <v>924</v>
      </c>
      <c r="B1398">
        <v>512350239</v>
      </c>
      <c r="C1398" s="60">
        <v>45929</v>
      </c>
      <c r="D1398" t="s">
        <v>947</v>
      </c>
      <c r="E1398">
        <v>1599</v>
      </c>
    </row>
    <row r="1399" spans="1:5" hidden="1">
      <c r="A1399" t="s">
        <v>842</v>
      </c>
      <c r="B1399">
        <v>512966332</v>
      </c>
      <c r="C1399" s="60">
        <v>45929</v>
      </c>
      <c r="D1399" t="s">
        <v>947</v>
      </c>
      <c r="E1399">
        <v>1399</v>
      </c>
    </row>
    <row r="1400" spans="1:5" hidden="1">
      <c r="A1400" t="s">
        <v>921</v>
      </c>
      <c r="B1400">
        <v>512974196</v>
      </c>
      <c r="C1400" s="60">
        <v>45929</v>
      </c>
      <c r="D1400" t="s">
        <v>947</v>
      </c>
      <c r="E1400">
        <v>1199</v>
      </c>
    </row>
    <row r="1401" spans="1:5" hidden="1">
      <c r="A1401" t="s">
        <v>886</v>
      </c>
      <c r="B1401">
        <v>512974354</v>
      </c>
      <c r="C1401" s="60">
        <v>45929</v>
      </c>
      <c r="D1401" t="s">
        <v>947</v>
      </c>
      <c r="E1401">
        <v>2199</v>
      </c>
    </row>
    <row r="1402" spans="1:5" hidden="1">
      <c r="A1402" t="s">
        <v>895</v>
      </c>
      <c r="B1402">
        <v>512977888</v>
      </c>
      <c r="C1402" s="60">
        <v>45929</v>
      </c>
      <c r="D1402" t="s">
        <v>947</v>
      </c>
      <c r="E1402">
        <v>3490</v>
      </c>
    </row>
    <row r="1403" spans="1:5" hidden="1">
      <c r="A1403" t="s">
        <v>903</v>
      </c>
      <c r="B1403">
        <v>512994430</v>
      </c>
      <c r="C1403" s="60">
        <v>45929</v>
      </c>
      <c r="D1403" t="s">
        <v>947</v>
      </c>
      <c r="E1403">
        <v>1300</v>
      </c>
    </row>
    <row r="1404" spans="1:5" hidden="1">
      <c r="A1404" t="s">
        <v>923</v>
      </c>
      <c r="B1404">
        <v>514151252</v>
      </c>
      <c r="C1404" s="60">
        <v>45929</v>
      </c>
      <c r="D1404" t="s">
        <v>947</v>
      </c>
      <c r="E1404">
        <v>3000</v>
      </c>
    </row>
    <row r="1405" spans="1:5" hidden="1">
      <c r="A1405" t="s">
        <v>1026</v>
      </c>
      <c r="B1405">
        <v>11554367</v>
      </c>
      <c r="C1405" s="60">
        <v>45930</v>
      </c>
      <c r="D1405" t="s">
        <v>1067</v>
      </c>
      <c r="E1405">
        <v>656</v>
      </c>
    </row>
    <row r="1406" spans="1:5" hidden="1">
      <c r="A1406" t="s">
        <v>1028</v>
      </c>
      <c r="B1406">
        <v>11556823</v>
      </c>
      <c r="C1406" s="60">
        <v>45930</v>
      </c>
      <c r="D1406" t="s">
        <v>1067</v>
      </c>
      <c r="E1406">
        <v>477</v>
      </c>
    </row>
    <row r="1407" spans="1:5" hidden="1">
      <c r="A1407" t="s">
        <v>1010</v>
      </c>
      <c r="B1407">
        <v>11557196</v>
      </c>
      <c r="C1407" s="60">
        <v>45930</v>
      </c>
      <c r="D1407" t="s">
        <v>1067</v>
      </c>
      <c r="E1407">
        <v>0</v>
      </c>
    </row>
    <row r="1408" spans="1:5" hidden="1">
      <c r="A1408" t="s">
        <v>1027</v>
      </c>
      <c r="B1408">
        <v>11557564</v>
      </c>
      <c r="C1408" s="60">
        <v>45930</v>
      </c>
      <c r="D1408" t="s">
        <v>1067</v>
      </c>
      <c r="E1408">
        <v>940</v>
      </c>
    </row>
    <row r="1409" spans="1:5" hidden="1">
      <c r="A1409" t="s">
        <v>1021</v>
      </c>
      <c r="B1409">
        <v>11557645</v>
      </c>
      <c r="C1409" s="60">
        <v>45930</v>
      </c>
      <c r="D1409" t="s">
        <v>1067</v>
      </c>
      <c r="E1409">
        <v>999</v>
      </c>
    </row>
    <row r="1410" spans="1:5" hidden="1">
      <c r="A1410" t="s">
        <v>1055</v>
      </c>
      <c r="B1410">
        <v>11557724</v>
      </c>
      <c r="C1410" s="60">
        <v>45930</v>
      </c>
      <c r="D1410" t="s">
        <v>1067</v>
      </c>
      <c r="E1410">
        <v>0</v>
      </c>
    </row>
    <row r="1411" spans="1:5" hidden="1">
      <c r="A1411" t="s">
        <v>982</v>
      </c>
      <c r="B1411">
        <v>11747815</v>
      </c>
      <c r="C1411" s="60">
        <v>45930</v>
      </c>
      <c r="D1411" t="s">
        <v>1067</v>
      </c>
      <c r="E1411">
        <v>4699</v>
      </c>
    </row>
    <row r="1412" spans="1:5" hidden="1">
      <c r="A1412" t="s">
        <v>1044</v>
      </c>
      <c r="B1412">
        <v>12109235</v>
      </c>
      <c r="C1412" s="60">
        <v>45930</v>
      </c>
      <c r="D1412" t="s">
        <v>1067</v>
      </c>
      <c r="E1412">
        <v>1129</v>
      </c>
    </row>
    <row r="1413" spans="1:5" hidden="1">
      <c r="A1413" t="s">
        <v>1002</v>
      </c>
      <c r="B1413">
        <v>12110432</v>
      </c>
      <c r="C1413" s="60">
        <v>45930</v>
      </c>
      <c r="D1413" t="s">
        <v>1067</v>
      </c>
      <c r="E1413">
        <v>779</v>
      </c>
    </row>
    <row r="1414" spans="1:5" hidden="1">
      <c r="A1414" t="s">
        <v>950</v>
      </c>
      <c r="B1414">
        <v>12112391</v>
      </c>
      <c r="C1414" s="60">
        <v>45930</v>
      </c>
      <c r="D1414" t="s">
        <v>1067</v>
      </c>
      <c r="E1414">
        <v>722</v>
      </c>
    </row>
    <row r="1415" spans="1:5" hidden="1">
      <c r="A1415" t="s">
        <v>991</v>
      </c>
      <c r="B1415">
        <v>12113855</v>
      </c>
      <c r="C1415" s="60">
        <v>45930</v>
      </c>
      <c r="D1415" t="s">
        <v>1067</v>
      </c>
      <c r="E1415">
        <v>0</v>
      </c>
    </row>
    <row r="1416" spans="1:5" hidden="1">
      <c r="A1416" t="s">
        <v>1009</v>
      </c>
      <c r="B1416">
        <v>12114065</v>
      </c>
      <c r="C1416" s="60">
        <v>45930</v>
      </c>
      <c r="D1416" t="s">
        <v>1067</v>
      </c>
      <c r="E1416">
        <v>460</v>
      </c>
    </row>
    <row r="1417" spans="1:5" hidden="1">
      <c r="A1417" t="s">
        <v>978</v>
      </c>
      <c r="B1417">
        <v>12114257</v>
      </c>
      <c r="C1417" s="60">
        <v>45930</v>
      </c>
      <c r="D1417" t="s">
        <v>1067</v>
      </c>
      <c r="E1417">
        <v>645</v>
      </c>
    </row>
    <row r="1418" spans="1:5" hidden="1">
      <c r="A1418" t="s">
        <v>972</v>
      </c>
      <c r="B1418">
        <v>12115715</v>
      </c>
      <c r="C1418" s="60">
        <v>45930</v>
      </c>
      <c r="D1418" t="s">
        <v>1067</v>
      </c>
      <c r="E1418">
        <v>0</v>
      </c>
    </row>
    <row r="1419" spans="1:5" hidden="1">
      <c r="A1419" t="s">
        <v>1022</v>
      </c>
      <c r="B1419">
        <v>12116460</v>
      </c>
      <c r="C1419" s="60">
        <v>45930</v>
      </c>
      <c r="D1419" t="s">
        <v>1067</v>
      </c>
      <c r="E1419">
        <v>0</v>
      </c>
    </row>
    <row r="1420" spans="1:5" hidden="1">
      <c r="A1420" t="s">
        <v>985</v>
      </c>
      <c r="B1420">
        <v>12116473</v>
      </c>
      <c r="C1420" s="60">
        <v>45930</v>
      </c>
      <c r="D1420" t="s">
        <v>1067</v>
      </c>
      <c r="E1420">
        <v>1159</v>
      </c>
    </row>
    <row r="1421" spans="1:5" hidden="1">
      <c r="A1421" t="s">
        <v>1031</v>
      </c>
      <c r="B1421">
        <v>12116818</v>
      </c>
      <c r="C1421" s="60">
        <v>45930</v>
      </c>
      <c r="D1421" t="s">
        <v>1067</v>
      </c>
      <c r="E1421">
        <v>0</v>
      </c>
    </row>
    <row r="1422" spans="1:5" hidden="1">
      <c r="A1422" t="s">
        <v>999</v>
      </c>
      <c r="B1422">
        <v>12117347</v>
      </c>
      <c r="C1422" s="60">
        <v>45930</v>
      </c>
      <c r="D1422" t="s">
        <v>1067</v>
      </c>
      <c r="E1422">
        <v>887</v>
      </c>
    </row>
    <row r="1423" spans="1:5" hidden="1">
      <c r="A1423" t="s">
        <v>1007</v>
      </c>
      <c r="B1423">
        <v>12118046</v>
      </c>
      <c r="C1423" s="60">
        <v>45930</v>
      </c>
      <c r="D1423" t="s">
        <v>1067</v>
      </c>
      <c r="E1423">
        <v>1420</v>
      </c>
    </row>
    <row r="1424" spans="1:5" hidden="1">
      <c r="A1424" t="s">
        <v>986</v>
      </c>
      <c r="B1424">
        <v>12118671</v>
      </c>
      <c r="C1424" s="60">
        <v>45930</v>
      </c>
      <c r="D1424" t="s">
        <v>1067</v>
      </c>
      <c r="E1424">
        <v>0</v>
      </c>
    </row>
    <row r="1425" spans="1:5" hidden="1">
      <c r="A1425" t="s">
        <v>1011</v>
      </c>
      <c r="B1425">
        <v>12118863</v>
      </c>
      <c r="C1425" s="60">
        <v>45930</v>
      </c>
      <c r="D1425" t="s">
        <v>1067</v>
      </c>
      <c r="E1425">
        <v>0</v>
      </c>
    </row>
    <row r="1426" spans="1:5" hidden="1">
      <c r="A1426" t="s">
        <v>1036</v>
      </c>
      <c r="B1426">
        <v>12119570</v>
      </c>
      <c r="C1426" s="60">
        <v>45930</v>
      </c>
      <c r="D1426" t="s">
        <v>1067</v>
      </c>
      <c r="E1426">
        <v>445</v>
      </c>
    </row>
    <row r="1427" spans="1:5" hidden="1">
      <c r="A1427" t="s">
        <v>1052</v>
      </c>
      <c r="B1427">
        <v>12120376</v>
      </c>
      <c r="C1427" s="60">
        <v>45930</v>
      </c>
      <c r="D1427" t="s">
        <v>1067</v>
      </c>
      <c r="E1427">
        <v>0</v>
      </c>
    </row>
    <row r="1428" spans="1:5" hidden="1">
      <c r="A1428" t="s">
        <v>1039</v>
      </c>
      <c r="B1428">
        <v>12121140</v>
      </c>
      <c r="C1428" s="60">
        <v>45930</v>
      </c>
      <c r="D1428" t="s">
        <v>1067</v>
      </c>
      <c r="E1428">
        <v>788</v>
      </c>
    </row>
    <row r="1429" spans="1:5" hidden="1">
      <c r="A1429" t="s">
        <v>1057</v>
      </c>
      <c r="B1429">
        <v>12121495</v>
      </c>
      <c r="C1429" s="60">
        <v>45930</v>
      </c>
      <c r="D1429" t="s">
        <v>1067</v>
      </c>
      <c r="E1429">
        <v>449</v>
      </c>
    </row>
    <row r="1430" spans="1:5" hidden="1">
      <c r="A1430" t="s">
        <v>1029</v>
      </c>
      <c r="B1430">
        <v>12121510</v>
      </c>
      <c r="C1430" s="60">
        <v>45930</v>
      </c>
      <c r="D1430" t="s">
        <v>1067</v>
      </c>
      <c r="E1430">
        <v>416</v>
      </c>
    </row>
    <row r="1431" spans="1:5" hidden="1">
      <c r="A1431" t="s">
        <v>962</v>
      </c>
      <c r="B1431">
        <v>12121584</v>
      </c>
      <c r="C1431" s="60">
        <v>45930</v>
      </c>
      <c r="D1431" t="s">
        <v>1067</v>
      </c>
      <c r="E1431">
        <v>829</v>
      </c>
    </row>
    <row r="1432" spans="1:5" hidden="1">
      <c r="A1432" t="s">
        <v>954</v>
      </c>
      <c r="B1432">
        <v>12121627</v>
      </c>
      <c r="C1432" s="60">
        <v>45930</v>
      </c>
      <c r="D1432" t="s">
        <v>1067</v>
      </c>
      <c r="E1432">
        <v>729</v>
      </c>
    </row>
    <row r="1433" spans="1:5" hidden="1">
      <c r="A1433" t="s">
        <v>988</v>
      </c>
      <c r="B1433">
        <v>12121689</v>
      </c>
      <c r="C1433" s="60">
        <v>45930</v>
      </c>
      <c r="D1433" t="s">
        <v>1067</v>
      </c>
      <c r="E1433">
        <v>4728</v>
      </c>
    </row>
    <row r="1434" spans="1:5" hidden="1">
      <c r="A1434" t="s">
        <v>992</v>
      </c>
      <c r="B1434">
        <v>12121716</v>
      </c>
      <c r="C1434" s="60">
        <v>45930</v>
      </c>
      <c r="D1434" t="s">
        <v>1067</v>
      </c>
      <c r="E1434">
        <v>1469</v>
      </c>
    </row>
    <row r="1435" spans="1:5" hidden="1">
      <c r="A1435" t="s">
        <v>1019</v>
      </c>
      <c r="B1435">
        <v>12122130</v>
      </c>
      <c r="C1435" s="60">
        <v>45930</v>
      </c>
      <c r="D1435" t="s">
        <v>1067</v>
      </c>
      <c r="E1435">
        <v>1605</v>
      </c>
    </row>
    <row r="1436" spans="1:5" hidden="1">
      <c r="A1436" t="s">
        <v>997</v>
      </c>
      <c r="B1436">
        <v>12122144</v>
      </c>
      <c r="C1436" s="60">
        <v>45930</v>
      </c>
      <c r="D1436" t="s">
        <v>1067</v>
      </c>
      <c r="E1436">
        <v>1025</v>
      </c>
    </row>
    <row r="1437" spans="1:5" hidden="1">
      <c r="A1437" t="s">
        <v>969</v>
      </c>
      <c r="B1437">
        <v>12122215</v>
      </c>
      <c r="C1437" s="60">
        <v>45930</v>
      </c>
      <c r="D1437" t="s">
        <v>1067</v>
      </c>
      <c r="E1437">
        <v>1659</v>
      </c>
    </row>
    <row r="1438" spans="1:5" hidden="1">
      <c r="A1438" t="s">
        <v>977</v>
      </c>
      <c r="B1438">
        <v>12122753</v>
      </c>
      <c r="C1438" s="60">
        <v>45930</v>
      </c>
      <c r="D1438" t="s">
        <v>1067</v>
      </c>
      <c r="E1438">
        <v>797</v>
      </c>
    </row>
    <row r="1439" spans="1:5" hidden="1">
      <c r="A1439" t="s">
        <v>953</v>
      </c>
      <c r="B1439">
        <v>12122885</v>
      </c>
      <c r="C1439" s="60">
        <v>45930</v>
      </c>
      <c r="D1439" t="s">
        <v>1067</v>
      </c>
      <c r="E1439">
        <v>1740</v>
      </c>
    </row>
    <row r="1440" spans="1:5" hidden="1">
      <c r="A1440" t="s">
        <v>984</v>
      </c>
      <c r="B1440">
        <v>12122920</v>
      </c>
      <c r="C1440" s="60">
        <v>45930</v>
      </c>
      <c r="D1440" t="s">
        <v>1067</v>
      </c>
      <c r="E1440">
        <v>2173</v>
      </c>
    </row>
    <row r="1441" spans="1:5" hidden="1">
      <c r="A1441" t="s">
        <v>952</v>
      </c>
      <c r="B1441">
        <v>12124138</v>
      </c>
      <c r="C1441" s="60">
        <v>45930</v>
      </c>
      <c r="D1441" t="s">
        <v>1067</v>
      </c>
      <c r="E1441">
        <v>1190</v>
      </c>
    </row>
    <row r="1442" spans="1:5" hidden="1">
      <c r="A1442" t="s">
        <v>1003</v>
      </c>
      <c r="B1442">
        <v>12125380</v>
      </c>
      <c r="C1442" s="60">
        <v>45930</v>
      </c>
      <c r="D1442" t="s">
        <v>1067</v>
      </c>
      <c r="E1442">
        <v>560</v>
      </c>
    </row>
    <row r="1443" spans="1:5" hidden="1">
      <c r="A1443" t="s">
        <v>1050</v>
      </c>
      <c r="B1443">
        <v>12127822</v>
      </c>
      <c r="C1443" s="60">
        <v>45930</v>
      </c>
      <c r="D1443" t="s">
        <v>1067</v>
      </c>
      <c r="E1443">
        <v>1099</v>
      </c>
    </row>
    <row r="1444" spans="1:5" hidden="1">
      <c r="A1444" t="s">
        <v>1061</v>
      </c>
      <c r="B1444">
        <v>12128836</v>
      </c>
      <c r="C1444" s="60">
        <v>45930</v>
      </c>
      <c r="D1444" t="s">
        <v>1067</v>
      </c>
      <c r="E1444">
        <v>591</v>
      </c>
    </row>
    <row r="1445" spans="1:5" hidden="1">
      <c r="A1445" t="s">
        <v>1008</v>
      </c>
      <c r="B1445">
        <v>12130264</v>
      </c>
      <c r="C1445" s="60">
        <v>45930</v>
      </c>
      <c r="D1445" t="s">
        <v>1067</v>
      </c>
      <c r="E1445">
        <v>799</v>
      </c>
    </row>
    <row r="1446" spans="1:5" hidden="1">
      <c r="A1446" t="s">
        <v>1066</v>
      </c>
      <c r="B1446">
        <v>12130475</v>
      </c>
      <c r="C1446" s="60">
        <v>45930</v>
      </c>
      <c r="D1446" t="s">
        <v>1067</v>
      </c>
      <c r="E1446">
        <v>1560</v>
      </c>
    </row>
    <row r="1447" spans="1:5" hidden="1">
      <c r="A1447" t="s">
        <v>1058</v>
      </c>
      <c r="B1447">
        <v>12132929</v>
      </c>
      <c r="C1447" s="60">
        <v>45930</v>
      </c>
      <c r="D1447" t="s">
        <v>1067</v>
      </c>
      <c r="E1447">
        <v>638</v>
      </c>
    </row>
    <row r="1448" spans="1:5" hidden="1">
      <c r="A1448" t="s">
        <v>948</v>
      </c>
      <c r="B1448">
        <v>12142333</v>
      </c>
      <c r="C1448" s="60">
        <v>45930</v>
      </c>
      <c r="D1448" t="s">
        <v>1067</v>
      </c>
      <c r="E1448">
        <v>2231</v>
      </c>
    </row>
    <row r="1449" spans="1:5" hidden="1">
      <c r="A1449" t="s">
        <v>1004</v>
      </c>
      <c r="B1449">
        <v>60809892</v>
      </c>
      <c r="C1449" s="60">
        <v>45930</v>
      </c>
      <c r="D1449" t="s">
        <v>1067</v>
      </c>
      <c r="E1449">
        <v>11997</v>
      </c>
    </row>
    <row r="1450" spans="1:5" hidden="1">
      <c r="A1450" t="s">
        <v>1038</v>
      </c>
      <c r="B1450">
        <v>60876491</v>
      </c>
      <c r="C1450" s="60">
        <v>45930</v>
      </c>
      <c r="D1450" t="s">
        <v>1067</v>
      </c>
      <c r="E1450">
        <v>2800</v>
      </c>
    </row>
    <row r="1451" spans="1:5" hidden="1">
      <c r="A1451" t="s">
        <v>1046</v>
      </c>
      <c r="B1451">
        <v>69918175</v>
      </c>
      <c r="C1451" s="60">
        <v>45930</v>
      </c>
      <c r="D1451" t="s">
        <v>1067</v>
      </c>
      <c r="E1451">
        <v>1499</v>
      </c>
    </row>
    <row r="1452" spans="1:5" hidden="1">
      <c r="A1452" t="s">
        <v>960</v>
      </c>
      <c r="B1452">
        <v>500664676</v>
      </c>
      <c r="C1452" s="60">
        <v>45930</v>
      </c>
      <c r="D1452" t="s">
        <v>1067</v>
      </c>
      <c r="E1452">
        <v>2200</v>
      </c>
    </row>
    <row r="1453" spans="1:5" hidden="1">
      <c r="A1453" t="s">
        <v>1013</v>
      </c>
      <c r="B1453">
        <v>500673052</v>
      </c>
      <c r="C1453" s="60">
        <v>45930</v>
      </c>
      <c r="D1453" t="s">
        <v>1067</v>
      </c>
      <c r="E1453">
        <v>1350</v>
      </c>
    </row>
    <row r="1454" spans="1:5" hidden="1">
      <c r="A1454" t="s">
        <v>1056</v>
      </c>
      <c r="B1454">
        <v>500673735</v>
      </c>
      <c r="C1454" s="60">
        <v>45930</v>
      </c>
      <c r="D1454" t="s">
        <v>1067</v>
      </c>
      <c r="E1454">
        <v>0</v>
      </c>
    </row>
    <row r="1455" spans="1:5" hidden="1">
      <c r="A1455" t="s">
        <v>966</v>
      </c>
      <c r="B1455">
        <v>500673784</v>
      </c>
      <c r="C1455" s="60">
        <v>45930</v>
      </c>
      <c r="D1455" t="s">
        <v>1067</v>
      </c>
      <c r="E1455">
        <v>1400</v>
      </c>
    </row>
    <row r="1456" spans="1:5" hidden="1">
      <c r="A1456" t="s">
        <v>1030</v>
      </c>
      <c r="B1456">
        <v>500676554</v>
      </c>
      <c r="C1456" s="60">
        <v>45930</v>
      </c>
      <c r="D1456" t="s">
        <v>1067</v>
      </c>
      <c r="E1456">
        <v>2999</v>
      </c>
    </row>
    <row r="1457" spans="1:5" hidden="1">
      <c r="A1457" t="s">
        <v>1001</v>
      </c>
      <c r="B1457">
        <v>503034358</v>
      </c>
      <c r="C1457" s="60">
        <v>45930</v>
      </c>
      <c r="D1457" t="s">
        <v>1067</v>
      </c>
      <c r="E1457">
        <v>2000</v>
      </c>
    </row>
    <row r="1458" spans="1:5" hidden="1">
      <c r="A1458" t="s">
        <v>1037</v>
      </c>
      <c r="B1458">
        <v>503445658</v>
      </c>
      <c r="C1458" s="60">
        <v>45930</v>
      </c>
      <c r="D1458" t="s">
        <v>1067</v>
      </c>
      <c r="E1458">
        <v>3499</v>
      </c>
    </row>
    <row r="1459" spans="1:5" hidden="1">
      <c r="A1459" t="s">
        <v>1033</v>
      </c>
      <c r="B1459">
        <v>503749081</v>
      </c>
      <c r="C1459" s="60">
        <v>45930</v>
      </c>
      <c r="D1459" t="s">
        <v>1067</v>
      </c>
      <c r="E1459">
        <v>1770</v>
      </c>
    </row>
    <row r="1460" spans="1:5" hidden="1">
      <c r="A1460" t="s">
        <v>1018</v>
      </c>
      <c r="B1460">
        <v>504089531</v>
      </c>
      <c r="C1460" s="60">
        <v>45930</v>
      </c>
      <c r="D1460" t="s">
        <v>1067</v>
      </c>
      <c r="E1460">
        <v>1550</v>
      </c>
    </row>
    <row r="1461" spans="1:5" hidden="1">
      <c r="A1461" t="s">
        <v>1059</v>
      </c>
      <c r="B1461">
        <v>504089544</v>
      </c>
      <c r="C1461" s="60">
        <v>45930</v>
      </c>
      <c r="D1461" t="s">
        <v>1067</v>
      </c>
      <c r="E1461">
        <v>1550</v>
      </c>
    </row>
    <row r="1462" spans="1:5" hidden="1">
      <c r="A1462" t="s">
        <v>951</v>
      </c>
      <c r="B1462">
        <v>506782191</v>
      </c>
      <c r="C1462" s="60">
        <v>45930</v>
      </c>
      <c r="D1462" t="s">
        <v>1067</v>
      </c>
      <c r="E1462">
        <v>1750</v>
      </c>
    </row>
    <row r="1463" spans="1:5" hidden="1">
      <c r="A1463" t="s">
        <v>970</v>
      </c>
      <c r="B1463">
        <v>507263585</v>
      </c>
      <c r="C1463" s="60">
        <v>45930</v>
      </c>
      <c r="D1463" t="s">
        <v>1067</v>
      </c>
      <c r="E1463">
        <v>2199</v>
      </c>
    </row>
    <row r="1464" spans="1:5" hidden="1">
      <c r="A1464" t="s">
        <v>1047</v>
      </c>
      <c r="B1464">
        <v>507264368</v>
      </c>
      <c r="C1464" s="60">
        <v>45930</v>
      </c>
      <c r="D1464" t="s">
        <v>1067</v>
      </c>
      <c r="E1464">
        <v>0</v>
      </c>
    </row>
    <row r="1465" spans="1:5" hidden="1">
      <c r="A1465" t="s">
        <v>975</v>
      </c>
      <c r="B1465">
        <v>507264383</v>
      </c>
      <c r="C1465" s="60">
        <v>45930</v>
      </c>
      <c r="D1465" t="s">
        <v>1067</v>
      </c>
      <c r="E1465">
        <v>2900</v>
      </c>
    </row>
    <row r="1466" spans="1:5" hidden="1">
      <c r="A1466" t="s">
        <v>1025</v>
      </c>
      <c r="B1466">
        <v>507264805</v>
      </c>
      <c r="C1466" s="60">
        <v>45930</v>
      </c>
      <c r="D1466" t="s">
        <v>1067</v>
      </c>
      <c r="E1466">
        <v>2199</v>
      </c>
    </row>
    <row r="1467" spans="1:5" hidden="1">
      <c r="A1467" t="s">
        <v>955</v>
      </c>
      <c r="B1467">
        <v>507265900</v>
      </c>
      <c r="C1467" s="60">
        <v>45930</v>
      </c>
      <c r="D1467" t="s">
        <v>1067</v>
      </c>
      <c r="E1467">
        <v>1474</v>
      </c>
    </row>
    <row r="1468" spans="1:5" hidden="1">
      <c r="A1468" t="s">
        <v>958</v>
      </c>
      <c r="B1468">
        <v>507265906</v>
      </c>
      <c r="C1468" s="60">
        <v>45930</v>
      </c>
      <c r="D1468" t="s">
        <v>1067</v>
      </c>
      <c r="E1468">
        <v>1729</v>
      </c>
    </row>
    <row r="1469" spans="1:5" hidden="1">
      <c r="A1469" t="s">
        <v>1012</v>
      </c>
      <c r="B1469">
        <v>507266776</v>
      </c>
      <c r="C1469" s="60">
        <v>45930</v>
      </c>
      <c r="D1469" t="s">
        <v>1067</v>
      </c>
      <c r="E1469">
        <v>2199</v>
      </c>
    </row>
    <row r="1470" spans="1:5" hidden="1">
      <c r="A1470" t="s">
        <v>1064</v>
      </c>
      <c r="B1470">
        <v>507267142</v>
      </c>
      <c r="C1470" s="60">
        <v>45930</v>
      </c>
      <c r="D1470" t="s">
        <v>1067</v>
      </c>
      <c r="E1470">
        <v>0</v>
      </c>
    </row>
    <row r="1471" spans="1:5" hidden="1">
      <c r="A1471" t="s">
        <v>968</v>
      </c>
      <c r="B1471">
        <v>507269234</v>
      </c>
      <c r="C1471" s="60">
        <v>45930</v>
      </c>
      <c r="D1471" t="s">
        <v>1067</v>
      </c>
      <c r="E1471">
        <v>2299</v>
      </c>
    </row>
    <row r="1472" spans="1:5" hidden="1">
      <c r="A1472" t="s">
        <v>965</v>
      </c>
      <c r="B1472">
        <v>507269398</v>
      </c>
      <c r="C1472" s="60">
        <v>45930</v>
      </c>
      <c r="D1472" t="s">
        <v>1067</v>
      </c>
      <c r="E1472">
        <v>1100</v>
      </c>
    </row>
    <row r="1473" spans="1:5" hidden="1">
      <c r="A1473" t="s">
        <v>1016</v>
      </c>
      <c r="B1473">
        <v>507557173</v>
      </c>
      <c r="C1473" s="60">
        <v>45930</v>
      </c>
      <c r="D1473" t="s">
        <v>1067</v>
      </c>
      <c r="E1473">
        <v>1299</v>
      </c>
    </row>
    <row r="1474" spans="1:5" hidden="1">
      <c r="A1474" t="s">
        <v>957</v>
      </c>
      <c r="B1474">
        <v>507828742</v>
      </c>
      <c r="C1474" s="60">
        <v>45930</v>
      </c>
      <c r="D1474" t="s">
        <v>1067</v>
      </c>
      <c r="E1474">
        <v>0</v>
      </c>
    </row>
    <row r="1475" spans="1:5" hidden="1">
      <c r="A1475" t="s">
        <v>964</v>
      </c>
      <c r="B1475">
        <v>507829486</v>
      </c>
      <c r="C1475" s="60">
        <v>45930</v>
      </c>
      <c r="D1475" t="s">
        <v>1067</v>
      </c>
      <c r="E1475">
        <v>2649</v>
      </c>
    </row>
    <row r="1476" spans="1:5" hidden="1">
      <c r="A1476" t="s">
        <v>963</v>
      </c>
      <c r="B1476">
        <v>507829574</v>
      </c>
      <c r="C1476" s="60">
        <v>45930</v>
      </c>
      <c r="D1476" t="s">
        <v>1067</v>
      </c>
      <c r="E1476">
        <v>250</v>
      </c>
    </row>
    <row r="1477" spans="1:5" hidden="1">
      <c r="A1477" t="s">
        <v>1006</v>
      </c>
      <c r="B1477">
        <v>507829918</v>
      </c>
      <c r="C1477" s="60">
        <v>45930</v>
      </c>
      <c r="D1477" t="s">
        <v>1067</v>
      </c>
      <c r="E1477">
        <v>430</v>
      </c>
    </row>
    <row r="1478" spans="1:5" hidden="1">
      <c r="A1478" t="s">
        <v>987</v>
      </c>
      <c r="B1478">
        <v>508028628</v>
      </c>
      <c r="C1478" s="60">
        <v>45930</v>
      </c>
      <c r="D1478" t="s">
        <v>1067</v>
      </c>
      <c r="E1478">
        <v>3100</v>
      </c>
    </row>
    <row r="1479" spans="1:5" hidden="1">
      <c r="A1479" t="s">
        <v>1000</v>
      </c>
      <c r="B1479">
        <v>508312785</v>
      </c>
      <c r="C1479" s="60">
        <v>45930</v>
      </c>
      <c r="D1479" t="s">
        <v>1067</v>
      </c>
      <c r="E1479">
        <v>4158.96</v>
      </c>
    </row>
    <row r="1480" spans="1:5" hidden="1">
      <c r="A1480" t="s">
        <v>1062</v>
      </c>
      <c r="B1480">
        <v>508312792</v>
      </c>
      <c r="C1480" s="60">
        <v>45930</v>
      </c>
      <c r="D1480" t="s">
        <v>1067</v>
      </c>
      <c r="E1480">
        <v>1349.92</v>
      </c>
    </row>
    <row r="1481" spans="1:5" hidden="1">
      <c r="A1481" t="s">
        <v>998</v>
      </c>
      <c r="B1481">
        <v>508321692</v>
      </c>
      <c r="C1481" s="60">
        <v>45930</v>
      </c>
      <c r="D1481" t="s">
        <v>1067</v>
      </c>
      <c r="E1481">
        <v>999</v>
      </c>
    </row>
    <row r="1482" spans="1:5" hidden="1">
      <c r="A1482" t="s">
        <v>1015</v>
      </c>
      <c r="B1482">
        <v>508322186</v>
      </c>
      <c r="C1482" s="60">
        <v>45930</v>
      </c>
      <c r="D1482" t="s">
        <v>1067</v>
      </c>
      <c r="E1482">
        <v>5200</v>
      </c>
    </row>
    <row r="1483" spans="1:5" hidden="1">
      <c r="A1483" t="s">
        <v>1005</v>
      </c>
      <c r="B1483">
        <v>508324050</v>
      </c>
      <c r="C1483" s="60">
        <v>45930</v>
      </c>
      <c r="D1483" t="s">
        <v>1067</v>
      </c>
      <c r="E1483">
        <v>1500</v>
      </c>
    </row>
    <row r="1484" spans="1:5" hidden="1">
      <c r="A1484" t="s">
        <v>959</v>
      </c>
      <c r="B1484">
        <v>508324123</v>
      </c>
      <c r="C1484" s="60">
        <v>45930</v>
      </c>
      <c r="D1484" t="s">
        <v>1067</v>
      </c>
      <c r="E1484">
        <v>1850</v>
      </c>
    </row>
    <row r="1485" spans="1:5" hidden="1">
      <c r="A1485" t="s">
        <v>1040</v>
      </c>
      <c r="B1485">
        <v>509979693</v>
      </c>
      <c r="C1485" s="60">
        <v>45930</v>
      </c>
      <c r="D1485" t="s">
        <v>1067</v>
      </c>
      <c r="E1485">
        <v>5100</v>
      </c>
    </row>
    <row r="1486" spans="1:5" hidden="1">
      <c r="A1486" t="s">
        <v>1063</v>
      </c>
      <c r="B1486">
        <v>509990306</v>
      </c>
      <c r="C1486" s="60">
        <v>45930</v>
      </c>
      <c r="D1486" t="s">
        <v>1067</v>
      </c>
      <c r="E1486">
        <v>2370</v>
      </c>
    </row>
    <row r="1487" spans="1:5" hidden="1">
      <c r="A1487" t="s">
        <v>1014</v>
      </c>
      <c r="B1487">
        <v>509997823</v>
      </c>
      <c r="C1487" s="60">
        <v>45930</v>
      </c>
      <c r="D1487" t="s">
        <v>1067</v>
      </c>
      <c r="E1487">
        <v>1250</v>
      </c>
    </row>
    <row r="1488" spans="1:5" hidden="1">
      <c r="A1488" t="s">
        <v>1017</v>
      </c>
      <c r="B1488">
        <v>510005872</v>
      </c>
      <c r="C1488" s="60">
        <v>45930</v>
      </c>
      <c r="D1488" t="s">
        <v>1067</v>
      </c>
      <c r="E1488">
        <v>2200</v>
      </c>
    </row>
    <row r="1489" spans="1:5" hidden="1">
      <c r="A1489" t="s">
        <v>1041</v>
      </c>
      <c r="B1489">
        <v>510009431</v>
      </c>
      <c r="C1489" s="60">
        <v>45930</v>
      </c>
      <c r="D1489" t="s">
        <v>1067</v>
      </c>
      <c r="E1489">
        <v>0</v>
      </c>
    </row>
    <row r="1490" spans="1:5" hidden="1">
      <c r="A1490" t="s">
        <v>990</v>
      </c>
      <c r="B1490">
        <v>510022482</v>
      </c>
      <c r="C1490" s="60">
        <v>45930</v>
      </c>
      <c r="D1490" t="s">
        <v>1067</v>
      </c>
      <c r="E1490">
        <v>2748</v>
      </c>
    </row>
    <row r="1491" spans="1:5" hidden="1">
      <c r="A1491" t="s">
        <v>961</v>
      </c>
      <c r="B1491">
        <v>510037391</v>
      </c>
      <c r="C1491" s="60">
        <v>45930</v>
      </c>
      <c r="D1491" t="s">
        <v>1067</v>
      </c>
      <c r="E1491">
        <v>4940</v>
      </c>
    </row>
    <row r="1492" spans="1:5" hidden="1">
      <c r="A1492" t="s">
        <v>1065</v>
      </c>
      <c r="B1492">
        <v>510040610</v>
      </c>
      <c r="C1492" s="60">
        <v>45930</v>
      </c>
      <c r="D1492" t="s">
        <v>1067</v>
      </c>
      <c r="E1492">
        <v>19900</v>
      </c>
    </row>
    <row r="1493" spans="1:5" hidden="1">
      <c r="A1493" t="s">
        <v>980</v>
      </c>
      <c r="B1493">
        <v>510043960</v>
      </c>
      <c r="C1493" s="60">
        <v>45930</v>
      </c>
      <c r="D1493" t="s">
        <v>1067</v>
      </c>
      <c r="E1493">
        <v>2200</v>
      </c>
    </row>
    <row r="1494" spans="1:5" hidden="1">
      <c r="A1494" t="s">
        <v>979</v>
      </c>
      <c r="B1494">
        <v>510044880</v>
      </c>
      <c r="C1494" s="60">
        <v>45930</v>
      </c>
      <c r="D1494" t="s">
        <v>1067</v>
      </c>
      <c r="E1494">
        <v>300</v>
      </c>
    </row>
    <row r="1495" spans="1:5" hidden="1">
      <c r="A1495" t="s">
        <v>1023</v>
      </c>
      <c r="B1495">
        <v>510049931</v>
      </c>
      <c r="C1495" s="60">
        <v>45930</v>
      </c>
      <c r="D1495" t="s">
        <v>1067</v>
      </c>
      <c r="E1495">
        <v>3620</v>
      </c>
    </row>
    <row r="1496" spans="1:5" hidden="1">
      <c r="A1496" t="s">
        <v>976</v>
      </c>
      <c r="B1496">
        <v>510050632</v>
      </c>
      <c r="C1496" s="60">
        <v>45930</v>
      </c>
      <c r="D1496" t="s">
        <v>1067</v>
      </c>
      <c r="E1496">
        <v>2000</v>
      </c>
    </row>
    <row r="1497" spans="1:5" hidden="1">
      <c r="A1497" t="s">
        <v>1048</v>
      </c>
      <c r="B1497">
        <v>510051691</v>
      </c>
      <c r="C1497" s="60">
        <v>45930</v>
      </c>
      <c r="D1497" t="s">
        <v>1067</v>
      </c>
      <c r="E1497">
        <v>3201</v>
      </c>
    </row>
    <row r="1498" spans="1:5" hidden="1">
      <c r="A1498" t="s">
        <v>1054</v>
      </c>
      <c r="B1498">
        <v>510059713</v>
      </c>
      <c r="C1498" s="60">
        <v>45930</v>
      </c>
      <c r="D1498" t="s">
        <v>1067</v>
      </c>
      <c r="E1498">
        <v>2204</v>
      </c>
    </row>
    <row r="1499" spans="1:5" hidden="1">
      <c r="A1499" t="s">
        <v>1043</v>
      </c>
      <c r="B1499">
        <v>510061522</v>
      </c>
      <c r="C1499" s="60">
        <v>45930</v>
      </c>
      <c r="D1499" t="s">
        <v>1067</v>
      </c>
      <c r="E1499">
        <v>1000</v>
      </c>
    </row>
    <row r="1500" spans="1:5" hidden="1">
      <c r="A1500" t="s">
        <v>995</v>
      </c>
      <c r="B1500">
        <v>510063054</v>
      </c>
      <c r="C1500" s="60">
        <v>45930</v>
      </c>
      <c r="D1500" t="s">
        <v>1067</v>
      </c>
      <c r="E1500">
        <v>750</v>
      </c>
    </row>
    <row r="1501" spans="1:5" hidden="1">
      <c r="A1501" t="s">
        <v>971</v>
      </c>
      <c r="B1501">
        <v>510063512</v>
      </c>
      <c r="C1501" s="60">
        <v>45930</v>
      </c>
      <c r="D1501" t="s">
        <v>1067</v>
      </c>
      <c r="E1501">
        <v>699</v>
      </c>
    </row>
    <row r="1502" spans="1:5" hidden="1">
      <c r="A1502" t="s">
        <v>1024</v>
      </c>
      <c r="B1502">
        <v>510064676</v>
      </c>
      <c r="C1502" s="60">
        <v>45930</v>
      </c>
      <c r="D1502" t="s">
        <v>1067</v>
      </c>
      <c r="E1502">
        <v>2479</v>
      </c>
    </row>
    <row r="1503" spans="1:5" hidden="1">
      <c r="A1503" t="s">
        <v>1020</v>
      </c>
      <c r="B1503">
        <v>510065089</v>
      </c>
      <c r="C1503" s="60">
        <v>45930</v>
      </c>
      <c r="D1503" t="s">
        <v>1067</v>
      </c>
      <c r="E1503">
        <v>6000</v>
      </c>
    </row>
    <row r="1504" spans="1:5" hidden="1">
      <c r="A1504" t="s">
        <v>1060</v>
      </c>
      <c r="B1504">
        <v>510065961</v>
      </c>
      <c r="C1504" s="60">
        <v>45930</v>
      </c>
      <c r="D1504" t="s">
        <v>1067</v>
      </c>
      <c r="E1504">
        <v>5100</v>
      </c>
    </row>
    <row r="1505" spans="1:5" hidden="1">
      <c r="A1505" t="s">
        <v>994</v>
      </c>
      <c r="B1505">
        <v>510067195</v>
      </c>
      <c r="C1505" s="60">
        <v>45930</v>
      </c>
      <c r="D1505" t="s">
        <v>1067</v>
      </c>
      <c r="E1505">
        <v>5000</v>
      </c>
    </row>
    <row r="1506" spans="1:5" hidden="1">
      <c r="A1506" t="s">
        <v>1042</v>
      </c>
      <c r="B1506">
        <v>510068175</v>
      </c>
      <c r="C1506" s="60">
        <v>45930</v>
      </c>
      <c r="D1506" t="s">
        <v>1067</v>
      </c>
      <c r="E1506">
        <v>0</v>
      </c>
    </row>
    <row r="1507" spans="1:5" hidden="1">
      <c r="A1507" t="s">
        <v>983</v>
      </c>
      <c r="B1507">
        <v>510071806</v>
      </c>
      <c r="C1507" s="60">
        <v>45930</v>
      </c>
      <c r="D1507" t="s">
        <v>1067</v>
      </c>
      <c r="E1507">
        <v>0</v>
      </c>
    </row>
    <row r="1508" spans="1:5" hidden="1">
      <c r="A1508" t="s">
        <v>974</v>
      </c>
      <c r="B1508">
        <v>510799083</v>
      </c>
      <c r="C1508" s="60">
        <v>45930</v>
      </c>
      <c r="D1508" t="s">
        <v>1067</v>
      </c>
      <c r="E1508">
        <v>1805</v>
      </c>
    </row>
    <row r="1509" spans="1:5" hidden="1">
      <c r="A1509" t="s">
        <v>996</v>
      </c>
      <c r="B1509">
        <v>511895513</v>
      </c>
      <c r="C1509" s="60">
        <v>45930</v>
      </c>
      <c r="D1509" t="s">
        <v>1067</v>
      </c>
      <c r="E1509">
        <v>0</v>
      </c>
    </row>
    <row r="1510" spans="1:5" hidden="1">
      <c r="A1510" t="s">
        <v>993</v>
      </c>
      <c r="B1510">
        <v>511907078</v>
      </c>
      <c r="C1510" s="60">
        <v>45930</v>
      </c>
      <c r="D1510" t="s">
        <v>1067</v>
      </c>
      <c r="E1510">
        <v>11700</v>
      </c>
    </row>
    <row r="1511" spans="1:5" hidden="1">
      <c r="A1511" t="s">
        <v>949</v>
      </c>
      <c r="B1511">
        <v>511909671</v>
      </c>
      <c r="C1511" s="60">
        <v>45930</v>
      </c>
      <c r="D1511" t="s">
        <v>1067</v>
      </c>
      <c r="E1511">
        <v>5000</v>
      </c>
    </row>
    <row r="1512" spans="1:5" hidden="1">
      <c r="A1512" t="s">
        <v>956</v>
      </c>
      <c r="B1512">
        <v>511934895</v>
      </c>
      <c r="C1512" s="60">
        <v>45930</v>
      </c>
      <c r="D1512" t="s">
        <v>1067</v>
      </c>
      <c r="E1512">
        <v>3240</v>
      </c>
    </row>
    <row r="1513" spans="1:5" hidden="1">
      <c r="A1513" t="s">
        <v>1035</v>
      </c>
      <c r="B1513">
        <v>511970384</v>
      </c>
      <c r="C1513" s="60">
        <v>45930</v>
      </c>
      <c r="D1513" t="s">
        <v>1067</v>
      </c>
      <c r="E1513">
        <v>11990</v>
      </c>
    </row>
    <row r="1514" spans="1:5" hidden="1">
      <c r="A1514" t="s">
        <v>973</v>
      </c>
      <c r="B1514">
        <v>512354386</v>
      </c>
      <c r="C1514" s="60">
        <v>45930</v>
      </c>
      <c r="D1514" t="s">
        <v>1067</v>
      </c>
      <c r="E1514">
        <v>1900</v>
      </c>
    </row>
    <row r="1515" spans="1:5" hidden="1">
      <c r="A1515" t="s">
        <v>989</v>
      </c>
      <c r="B1515">
        <v>512979721</v>
      </c>
      <c r="C1515" s="60">
        <v>45930</v>
      </c>
      <c r="D1515" t="s">
        <v>1067</v>
      </c>
      <c r="E1515">
        <v>8200</v>
      </c>
    </row>
    <row r="1516" spans="1:5" hidden="1">
      <c r="A1516" t="s">
        <v>1032</v>
      </c>
      <c r="B1516">
        <v>513591387</v>
      </c>
      <c r="C1516" s="60">
        <v>45930</v>
      </c>
      <c r="D1516" t="s">
        <v>1067</v>
      </c>
      <c r="E1516">
        <v>1699</v>
      </c>
    </row>
    <row r="1517" spans="1:5" hidden="1">
      <c r="A1517" t="s">
        <v>967</v>
      </c>
      <c r="B1517">
        <v>513591472</v>
      </c>
      <c r="C1517" s="60">
        <v>45930</v>
      </c>
      <c r="D1517" t="s">
        <v>1067</v>
      </c>
      <c r="E1517">
        <v>8500</v>
      </c>
    </row>
    <row r="1518" spans="1:5" hidden="1">
      <c r="A1518" t="s">
        <v>1034</v>
      </c>
      <c r="B1518">
        <v>513591771</v>
      </c>
      <c r="C1518" s="60">
        <v>45930</v>
      </c>
      <c r="D1518" t="s">
        <v>1067</v>
      </c>
      <c r="E1518">
        <v>4500</v>
      </c>
    </row>
    <row r="1519" spans="1:5" hidden="1">
      <c r="A1519" t="s">
        <v>1049</v>
      </c>
      <c r="B1519">
        <v>513706869</v>
      </c>
      <c r="C1519" s="60">
        <v>45930</v>
      </c>
      <c r="D1519" t="s">
        <v>1067</v>
      </c>
      <c r="E1519">
        <v>10300</v>
      </c>
    </row>
    <row r="1520" spans="1:5" hidden="1">
      <c r="A1520" t="s">
        <v>1051</v>
      </c>
      <c r="B1520">
        <v>513707478</v>
      </c>
      <c r="C1520" s="60">
        <v>45930</v>
      </c>
      <c r="D1520" t="s">
        <v>1067</v>
      </c>
      <c r="E1520">
        <v>5000</v>
      </c>
    </row>
    <row r="1521" spans="1:5" hidden="1">
      <c r="A1521" t="s">
        <v>1053</v>
      </c>
      <c r="B1521">
        <v>514129917</v>
      </c>
      <c r="C1521" s="60">
        <v>45930</v>
      </c>
      <c r="D1521" t="s">
        <v>1067</v>
      </c>
      <c r="E1521">
        <v>3000</v>
      </c>
    </row>
    <row r="1522" spans="1:5" hidden="1">
      <c r="A1522" t="s">
        <v>1045</v>
      </c>
      <c r="B1522">
        <v>514161358</v>
      </c>
      <c r="C1522" s="60">
        <v>45930</v>
      </c>
      <c r="D1522" t="s">
        <v>1067</v>
      </c>
      <c r="E1522">
        <v>3400</v>
      </c>
    </row>
    <row r="1523" spans="1:5" hidden="1">
      <c r="A1523" t="s">
        <v>981</v>
      </c>
      <c r="B1523">
        <v>514166356</v>
      </c>
      <c r="C1523" s="60">
        <v>45930</v>
      </c>
      <c r="D1523" t="s">
        <v>1067</v>
      </c>
      <c r="E1523">
        <v>2299</v>
      </c>
    </row>
    <row r="1524" spans="1:5">
      <c r="A1524" t="s">
        <v>981</v>
      </c>
      <c r="C1524" s="60">
        <v>45948</v>
      </c>
      <c r="D1524" t="s">
        <v>2235</v>
      </c>
      <c r="E1524">
        <v>3900</v>
      </c>
    </row>
    <row r="1525" spans="1:5">
      <c r="A1525" t="s">
        <v>2112</v>
      </c>
      <c r="C1525" s="60">
        <v>45948</v>
      </c>
      <c r="D1525" t="s">
        <v>2235</v>
      </c>
      <c r="E1525">
        <v>2398</v>
      </c>
    </row>
    <row r="1526" spans="1:5">
      <c r="A1526" t="s">
        <v>2113</v>
      </c>
      <c r="C1526" s="60">
        <v>45948</v>
      </c>
      <c r="D1526" t="s">
        <v>2235</v>
      </c>
      <c r="E1526">
        <v>588</v>
      </c>
    </row>
    <row r="1527" spans="1:5">
      <c r="A1527" t="s">
        <v>2114</v>
      </c>
      <c r="C1527" s="60">
        <v>45948</v>
      </c>
      <c r="D1527" t="s">
        <v>2235</v>
      </c>
      <c r="E1527">
        <v>1827</v>
      </c>
    </row>
    <row r="1528" spans="1:5">
      <c r="A1528" t="s">
        <v>2115</v>
      </c>
      <c r="C1528" s="60">
        <v>45948</v>
      </c>
      <c r="D1528" t="s">
        <v>2235</v>
      </c>
      <c r="E1528">
        <v>1998</v>
      </c>
    </row>
    <row r="1529" spans="1:5">
      <c r="A1529" t="s">
        <v>2116</v>
      </c>
      <c r="C1529" s="60">
        <v>45948</v>
      </c>
      <c r="D1529" t="s">
        <v>2235</v>
      </c>
      <c r="E1529">
        <v>0</v>
      </c>
    </row>
    <row r="1530" spans="1:5">
      <c r="A1530" t="s">
        <v>2117</v>
      </c>
      <c r="C1530" s="60">
        <v>45948</v>
      </c>
      <c r="D1530" t="s">
        <v>2235</v>
      </c>
      <c r="E1530">
        <v>1229</v>
      </c>
    </row>
    <row r="1531" spans="1:5">
      <c r="A1531" t="s">
        <v>2118</v>
      </c>
      <c r="C1531" s="60">
        <v>45948</v>
      </c>
      <c r="D1531" t="s">
        <v>2235</v>
      </c>
      <c r="E1531">
        <v>750</v>
      </c>
    </row>
    <row r="1532" spans="1:5">
      <c r="A1532" t="s">
        <v>2119</v>
      </c>
      <c r="C1532" s="60">
        <v>45948</v>
      </c>
      <c r="D1532" t="s">
        <v>2235</v>
      </c>
      <c r="E1532">
        <v>1200</v>
      </c>
    </row>
    <row r="1533" spans="1:5">
      <c r="A1533" t="s">
        <v>2120</v>
      </c>
      <c r="C1533" s="60">
        <v>45948</v>
      </c>
      <c r="D1533" t="s">
        <v>2235</v>
      </c>
      <c r="E1533">
        <v>469</v>
      </c>
    </row>
    <row r="1534" spans="1:5">
      <c r="A1534" t="s">
        <v>2121</v>
      </c>
      <c r="C1534" s="60">
        <v>45948</v>
      </c>
      <c r="D1534" t="s">
        <v>2235</v>
      </c>
      <c r="E1534">
        <v>615</v>
      </c>
    </row>
    <row r="1535" spans="1:5">
      <c r="A1535" t="s">
        <v>2122</v>
      </c>
      <c r="C1535" s="60">
        <v>45948</v>
      </c>
      <c r="D1535" t="s">
        <v>2235</v>
      </c>
      <c r="E1535">
        <v>629</v>
      </c>
    </row>
    <row r="1536" spans="1:5">
      <c r="A1536" t="s">
        <v>2123</v>
      </c>
      <c r="C1536" s="60">
        <v>45948</v>
      </c>
      <c r="D1536" t="s">
        <v>2235</v>
      </c>
      <c r="E1536">
        <v>0</v>
      </c>
    </row>
    <row r="1537" spans="1:5">
      <c r="A1537" t="s">
        <v>2124</v>
      </c>
      <c r="C1537" s="60">
        <v>45948</v>
      </c>
      <c r="D1537" t="s">
        <v>2235</v>
      </c>
      <c r="E1537">
        <v>0</v>
      </c>
    </row>
    <row r="1538" spans="1:5">
      <c r="A1538" t="s">
        <v>2125</v>
      </c>
      <c r="C1538" s="60">
        <v>45948</v>
      </c>
      <c r="D1538" t="s">
        <v>2235</v>
      </c>
      <c r="E1538">
        <v>561</v>
      </c>
    </row>
    <row r="1539" spans="1:5">
      <c r="A1539" t="s">
        <v>2126</v>
      </c>
      <c r="C1539" s="60">
        <v>45948</v>
      </c>
      <c r="D1539" t="s">
        <v>2235</v>
      </c>
      <c r="E1539">
        <v>0</v>
      </c>
    </row>
    <row r="1540" spans="1:5">
      <c r="A1540" t="s">
        <v>2127</v>
      </c>
      <c r="C1540" s="60">
        <v>45948</v>
      </c>
      <c r="D1540" t="s">
        <v>2235</v>
      </c>
      <c r="E1540">
        <v>786</v>
      </c>
    </row>
    <row r="1541" spans="1:5">
      <c r="A1541" t="s">
        <v>2128</v>
      </c>
      <c r="C1541" s="60">
        <v>45948</v>
      </c>
      <c r="D1541" t="s">
        <v>2235</v>
      </c>
      <c r="E1541">
        <v>1970</v>
      </c>
    </row>
    <row r="1542" spans="1:5">
      <c r="A1542" t="s">
        <v>2129</v>
      </c>
      <c r="C1542" s="60">
        <v>45948</v>
      </c>
      <c r="D1542" t="s">
        <v>2235</v>
      </c>
      <c r="E1542">
        <v>4500</v>
      </c>
    </row>
    <row r="1543" spans="1:5">
      <c r="A1543" t="s">
        <v>2130</v>
      </c>
      <c r="C1543" s="60">
        <v>45948</v>
      </c>
      <c r="D1543" t="s">
        <v>2235</v>
      </c>
      <c r="E1543">
        <v>557</v>
      </c>
    </row>
    <row r="1544" spans="1:5">
      <c r="A1544" t="s">
        <v>2131</v>
      </c>
      <c r="C1544" s="60">
        <v>45948</v>
      </c>
      <c r="D1544" t="s">
        <v>2235</v>
      </c>
      <c r="E1544">
        <v>320</v>
      </c>
    </row>
    <row r="1545" spans="1:5">
      <c r="A1545" t="s">
        <v>2132</v>
      </c>
      <c r="C1545" s="60">
        <v>45948</v>
      </c>
      <c r="D1545" t="s">
        <v>2235</v>
      </c>
      <c r="E1545">
        <v>1099</v>
      </c>
    </row>
    <row r="1546" spans="1:5">
      <c r="A1546" t="s">
        <v>2133</v>
      </c>
      <c r="C1546" s="60">
        <v>45948</v>
      </c>
      <c r="D1546" t="s">
        <v>2235</v>
      </c>
      <c r="E1546">
        <v>1850</v>
      </c>
    </row>
    <row r="1547" spans="1:5">
      <c r="A1547" t="s">
        <v>2134</v>
      </c>
      <c r="C1547" s="60">
        <v>45948</v>
      </c>
      <c r="D1547" t="s">
        <v>2235</v>
      </c>
      <c r="E1547">
        <v>2260</v>
      </c>
    </row>
    <row r="1548" spans="1:5">
      <c r="A1548" t="s">
        <v>2135</v>
      </c>
      <c r="C1548" s="60">
        <v>45948</v>
      </c>
      <c r="D1548" t="s">
        <v>2235</v>
      </c>
      <c r="E1548">
        <v>999</v>
      </c>
    </row>
    <row r="1549" spans="1:5">
      <c r="A1549" t="s">
        <v>2136</v>
      </c>
      <c r="C1549" s="60">
        <v>45948</v>
      </c>
      <c r="D1549" t="s">
        <v>2235</v>
      </c>
      <c r="E1549">
        <v>797</v>
      </c>
    </row>
    <row r="1550" spans="1:5">
      <c r="A1550" t="s">
        <v>2137</v>
      </c>
      <c r="C1550" s="60">
        <v>45948</v>
      </c>
      <c r="D1550" t="s">
        <v>2235</v>
      </c>
      <c r="E1550">
        <v>1300</v>
      </c>
    </row>
    <row r="1551" spans="1:5">
      <c r="A1551" t="s">
        <v>2138</v>
      </c>
      <c r="C1551" s="60">
        <v>45948</v>
      </c>
      <c r="D1551" t="s">
        <v>2235</v>
      </c>
      <c r="E1551">
        <v>0</v>
      </c>
    </row>
    <row r="1552" spans="1:5">
      <c r="A1552" t="s">
        <v>2139</v>
      </c>
      <c r="C1552" s="60">
        <v>45948</v>
      </c>
      <c r="D1552" t="s">
        <v>2235</v>
      </c>
      <c r="E1552">
        <v>1176</v>
      </c>
    </row>
    <row r="1553" spans="1:5">
      <c r="A1553" t="s">
        <v>2140</v>
      </c>
      <c r="C1553" s="60">
        <v>45948</v>
      </c>
      <c r="D1553" t="s">
        <v>2235</v>
      </c>
      <c r="E1553">
        <v>2501</v>
      </c>
    </row>
    <row r="1554" spans="1:5">
      <c r="A1554" t="s">
        <v>2141</v>
      </c>
      <c r="C1554" s="60">
        <v>45948</v>
      </c>
      <c r="D1554" t="s">
        <v>2235</v>
      </c>
      <c r="E1554">
        <v>601</v>
      </c>
    </row>
    <row r="1555" spans="1:5">
      <c r="A1555" t="s">
        <v>2142</v>
      </c>
      <c r="C1555" s="60">
        <v>45948</v>
      </c>
      <c r="D1555" t="s">
        <v>2235</v>
      </c>
      <c r="E1555">
        <v>3117.92</v>
      </c>
    </row>
    <row r="1556" spans="1:5">
      <c r="A1556" t="s">
        <v>2143</v>
      </c>
      <c r="C1556" s="60">
        <v>45948</v>
      </c>
      <c r="D1556" t="s">
        <v>2235</v>
      </c>
      <c r="E1556">
        <v>1700</v>
      </c>
    </row>
    <row r="1557" spans="1:5">
      <c r="A1557" t="s">
        <v>2144</v>
      </c>
      <c r="C1557" s="60">
        <v>45948</v>
      </c>
      <c r="D1557" t="s">
        <v>2235</v>
      </c>
      <c r="E1557">
        <v>2850</v>
      </c>
    </row>
    <row r="1558" spans="1:5">
      <c r="A1558" t="s">
        <v>2145</v>
      </c>
      <c r="C1558" s="60">
        <v>45948</v>
      </c>
      <c r="D1558" t="s">
        <v>2235</v>
      </c>
      <c r="E1558">
        <v>3300</v>
      </c>
    </row>
    <row r="1559" spans="1:5">
      <c r="A1559" t="s">
        <v>2146</v>
      </c>
      <c r="C1559" s="60">
        <v>45948</v>
      </c>
      <c r="D1559" t="s">
        <v>2235</v>
      </c>
      <c r="E1559">
        <v>994</v>
      </c>
    </row>
    <row r="1560" spans="1:5">
      <c r="A1560" t="s">
        <v>2147</v>
      </c>
      <c r="C1560" s="60">
        <v>45948</v>
      </c>
      <c r="D1560" t="s">
        <v>2235</v>
      </c>
      <c r="E1560">
        <v>0</v>
      </c>
    </row>
    <row r="1561" spans="1:5">
      <c r="A1561" t="s">
        <v>2148</v>
      </c>
      <c r="C1561" s="60">
        <v>45948</v>
      </c>
      <c r="D1561" t="s">
        <v>2235</v>
      </c>
      <c r="E1561">
        <v>9549</v>
      </c>
    </row>
    <row r="1562" spans="1:5">
      <c r="A1562" t="s">
        <v>2149</v>
      </c>
      <c r="C1562" s="60">
        <v>45948</v>
      </c>
      <c r="D1562" t="s">
        <v>2235</v>
      </c>
      <c r="E1562">
        <v>6300</v>
      </c>
    </row>
    <row r="1563" spans="1:5">
      <c r="A1563" t="s">
        <v>2150</v>
      </c>
      <c r="C1563" s="60">
        <v>45948</v>
      </c>
      <c r="D1563" t="s">
        <v>2235</v>
      </c>
      <c r="E1563">
        <v>7280</v>
      </c>
    </row>
    <row r="1564" spans="1:5">
      <c r="A1564" t="s">
        <v>2151</v>
      </c>
      <c r="C1564" s="60">
        <v>45948</v>
      </c>
      <c r="D1564" t="s">
        <v>2235</v>
      </c>
      <c r="E1564">
        <v>4500</v>
      </c>
    </row>
    <row r="1565" spans="1:5">
      <c r="A1565" t="s">
        <v>2152</v>
      </c>
      <c r="C1565" s="60">
        <v>45948</v>
      </c>
      <c r="D1565" t="s">
        <v>2235</v>
      </c>
      <c r="E1565">
        <v>649</v>
      </c>
    </row>
    <row r="1566" spans="1:5">
      <c r="A1566" t="s">
        <v>2153</v>
      </c>
      <c r="C1566" s="60">
        <v>45948</v>
      </c>
      <c r="D1566" t="s">
        <v>2235</v>
      </c>
      <c r="E1566">
        <v>1200</v>
      </c>
    </row>
    <row r="1567" spans="1:5">
      <c r="A1567" t="s">
        <v>2154</v>
      </c>
      <c r="C1567" s="60">
        <v>45948</v>
      </c>
      <c r="D1567" t="s">
        <v>2235</v>
      </c>
      <c r="E1567">
        <v>2694.6</v>
      </c>
    </row>
    <row r="1568" spans="1:5">
      <c r="A1568" t="s">
        <v>2155</v>
      </c>
      <c r="C1568" s="60">
        <v>45948</v>
      </c>
      <c r="D1568" t="s">
        <v>2235</v>
      </c>
      <c r="E1568">
        <v>505</v>
      </c>
    </row>
    <row r="1569" spans="1:5">
      <c r="A1569" t="s">
        <v>2156</v>
      </c>
      <c r="C1569" s="60">
        <v>45948</v>
      </c>
      <c r="D1569" t="s">
        <v>2235</v>
      </c>
      <c r="E1569">
        <v>4750</v>
      </c>
    </row>
    <row r="1570" spans="1:5">
      <c r="A1570" t="s">
        <v>2157</v>
      </c>
      <c r="C1570" s="60">
        <v>45948</v>
      </c>
      <c r="D1570" t="s">
        <v>2235</v>
      </c>
      <c r="E1570">
        <v>1729</v>
      </c>
    </row>
    <row r="1571" spans="1:5">
      <c r="A1571" t="s">
        <v>2158</v>
      </c>
      <c r="C1571" s="60">
        <v>45948</v>
      </c>
      <c r="D1571" t="s">
        <v>2235</v>
      </c>
      <c r="E1571">
        <v>436</v>
      </c>
    </row>
    <row r="1572" spans="1:5">
      <c r="A1572" t="s">
        <v>2159</v>
      </c>
      <c r="C1572" s="60">
        <v>45948</v>
      </c>
      <c r="D1572" t="s">
        <v>2235</v>
      </c>
      <c r="E1572">
        <v>1104</v>
      </c>
    </row>
    <row r="1573" spans="1:5">
      <c r="A1573" t="s">
        <v>2160</v>
      </c>
      <c r="C1573" s="60">
        <v>45948</v>
      </c>
      <c r="D1573" t="s">
        <v>2235</v>
      </c>
      <c r="E1573">
        <v>0</v>
      </c>
    </row>
    <row r="1574" spans="1:5">
      <c r="A1574" t="s">
        <v>2161</v>
      </c>
      <c r="C1574" s="60">
        <v>45948</v>
      </c>
      <c r="D1574" t="s">
        <v>2235</v>
      </c>
      <c r="E1574">
        <v>1300</v>
      </c>
    </row>
    <row r="1575" spans="1:5">
      <c r="A1575" t="s">
        <v>2162</v>
      </c>
      <c r="C1575" s="60">
        <v>45948</v>
      </c>
      <c r="D1575" t="s">
        <v>2235</v>
      </c>
      <c r="E1575">
        <v>0</v>
      </c>
    </row>
    <row r="1576" spans="1:5">
      <c r="A1576" t="s">
        <v>2163</v>
      </c>
      <c r="C1576" s="60">
        <v>45948</v>
      </c>
      <c r="D1576" t="s">
        <v>2235</v>
      </c>
      <c r="E1576">
        <v>500</v>
      </c>
    </row>
    <row r="1577" spans="1:5">
      <c r="A1577" t="s">
        <v>2164</v>
      </c>
      <c r="C1577" s="60">
        <v>45948</v>
      </c>
      <c r="D1577" t="s">
        <v>2235</v>
      </c>
      <c r="E1577">
        <v>4500</v>
      </c>
    </row>
    <row r="1578" spans="1:5">
      <c r="A1578" t="s">
        <v>2165</v>
      </c>
      <c r="C1578" s="60">
        <v>45948</v>
      </c>
      <c r="D1578" t="s">
        <v>2235</v>
      </c>
      <c r="E1578">
        <v>26000</v>
      </c>
    </row>
    <row r="1579" spans="1:5">
      <c r="A1579" t="s">
        <v>2166</v>
      </c>
      <c r="C1579" s="60">
        <v>45948</v>
      </c>
      <c r="D1579" t="s">
        <v>2235</v>
      </c>
      <c r="E1579">
        <v>832</v>
      </c>
    </row>
    <row r="1580" spans="1:5">
      <c r="A1580" t="s">
        <v>2167</v>
      </c>
      <c r="C1580" s="60">
        <v>45948</v>
      </c>
      <c r="D1580" t="s">
        <v>2235</v>
      </c>
      <c r="E1580">
        <v>809</v>
      </c>
    </row>
    <row r="1581" spans="1:5">
      <c r="A1581" t="s">
        <v>2168</v>
      </c>
      <c r="C1581" s="60">
        <v>45948</v>
      </c>
      <c r="D1581" t="s">
        <v>2235</v>
      </c>
      <c r="E1581">
        <v>3349</v>
      </c>
    </row>
    <row r="1582" spans="1:5">
      <c r="A1582" t="s">
        <v>2169</v>
      </c>
      <c r="C1582" s="60">
        <v>45948</v>
      </c>
      <c r="D1582" t="s">
        <v>2235</v>
      </c>
      <c r="E1582">
        <v>1049</v>
      </c>
    </row>
    <row r="1583" spans="1:5">
      <c r="A1583" t="s">
        <v>2170</v>
      </c>
      <c r="C1583" s="60">
        <v>45948</v>
      </c>
      <c r="D1583" t="s">
        <v>2235</v>
      </c>
      <c r="E1583">
        <v>1260</v>
      </c>
    </row>
    <row r="1584" spans="1:5">
      <c r="A1584" t="s">
        <v>2171</v>
      </c>
      <c r="C1584" s="60">
        <v>45948</v>
      </c>
      <c r="D1584" t="s">
        <v>2235</v>
      </c>
      <c r="E1584">
        <v>487</v>
      </c>
    </row>
    <row r="1585" spans="1:5">
      <c r="A1585" t="s">
        <v>2172</v>
      </c>
      <c r="C1585" s="60">
        <v>45948</v>
      </c>
      <c r="D1585" t="s">
        <v>2235</v>
      </c>
      <c r="E1585">
        <v>420</v>
      </c>
    </row>
    <row r="1586" spans="1:5">
      <c r="A1586" t="s">
        <v>2173</v>
      </c>
      <c r="C1586" s="60">
        <v>45948</v>
      </c>
      <c r="D1586" t="s">
        <v>2235</v>
      </c>
      <c r="E1586">
        <v>4950</v>
      </c>
    </row>
    <row r="1587" spans="1:5">
      <c r="A1587" t="s">
        <v>2174</v>
      </c>
      <c r="C1587" s="60">
        <v>45948</v>
      </c>
      <c r="D1587" t="s">
        <v>2235</v>
      </c>
      <c r="E1587">
        <v>3429</v>
      </c>
    </row>
    <row r="1588" spans="1:5">
      <c r="A1588" t="s">
        <v>2175</v>
      </c>
      <c r="C1588" s="60">
        <v>45948</v>
      </c>
      <c r="D1588" t="s">
        <v>2235</v>
      </c>
      <c r="E1588">
        <v>1029</v>
      </c>
    </row>
    <row r="1589" spans="1:5">
      <c r="A1589" t="s">
        <v>2176</v>
      </c>
      <c r="C1589" s="60">
        <v>45948</v>
      </c>
      <c r="D1589" t="s">
        <v>2235</v>
      </c>
      <c r="E1589">
        <v>261</v>
      </c>
    </row>
    <row r="1590" spans="1:5">
      <c r="A1590" t="s">
        <v>2177</v>
      </c>
      <c r="C1590" s="60">
        <v>45948</v>
      </c>
      <c r="D1590" t="s">
        <v>2235</v>
      </c>
      <c r="E1590">
        <v>947</v>
      </c>
    </row>
    <row r="1591" spans="1:5">
      <c r="A1591" t="s">
        <v>2178</v>
      </c>
      <c r="C1591" s="60">
        <v>45948</v>
      </c>
      <c r="D1591" t="s">
        <v>2235</v>
      </c>
      <c r="E1591">
        <v>729</v>
      </c>
    </row>
    <row r="1592" spans="1:5">
      <c r="A1592" t="s">
        <v>2179</v>
      </c>
      <c r="C1592" s="60">
        <v>45948</v>
      </c>
      <c r="D1592" t="s">
        <v>2235</v>
      </c>
      <c r="E1592">
        <v>788</v>
      </c>
    </row>
    <row r="1593" spans="1:5">
      <c r="A1593" t="s">
        <v>2180</v>
      </c>
      <c r="C1593" s="60">
        <v>45948</v>
      </c>
      <c r="D1593" t="s">
        <v>2235</v>
      </c>
      <c r="E1593">
        <v>827</v>
      </c>
    </row>
    <row r="1594" spans="1:5">
      <c r="A1594" t="s">
        <v>2181</v>
      </c>
      <c r="C1594" s="60">
        <v>45948</v>
      </c>
      <c r="D1594" t="s">
        <v>2235</v>
      </c>
      <c r="E1594">
        <v>1177</v>
      </c>
    </row>
    <row r="1595" spans="1:5">
      <c r="A1595" t="s">
        <v>2182</v>
      </c>
      <c r="C1595" s="60">
        <v>45948</v>
      </c>
      <c r="D1595" t="s">
        <v>2235</v>
      </c>
      <c r="E1595">
        <v>610</v>
      </c>
    </row>
    <row r="1596" spans="1:5">
      <c r="A1596" t="s">
        <v>2183</v>
      </c>
      <c r="C1596" s="60">
        <v>45948</v>
      </c>
      <c r="D1596" t="s">
        <v>2235</v>
      </c>
      <c r="E1596">
        <v>0</v>
      </c>
    </row>
    <row r="1597" spans="1:5">
      <c r="A1597" t="s">
        <v>2184</v>
      </c>
      <c r="C1597" s="60">
        <v>45948</v>
      </c>
      <c r="D1597" t="s">
        <v>2235</v>
      </c>
      <c r="E1597">
        <v>0</v>
      </c>
    </row>
    <row r="1598" spans="1:5">
      <c r="A1598" t="s">
        <v>2185</v>
      </c>
      <c r="C1598" s="60">
        <v>45948</v>
      </c>
      <c r="D1598" t="s">
        <v>2235</v>
      </c>
      <c r="E1598">
        <v>694</v>
      </c>
    </row>
    <row r="1599" spans="1:5">
      <c r="A1599" t="s">
        <v>2186</v>
      </c>
      <c r="C1599" s="60">
        <v>45948</v>
      </c>
      <c r="D1599" t="s">
        <v>2235</v>
      </c>
      <c r="E1599">
        <v>480</v>
      </c>
    </row>
    <row r="1600" spans="1:5">
      <c r="A1600" t="s">
        <v>2187</v>
      </c>
      <c r="C1600" s="60">
        <v>45948</v>
      </c>
      <c r="D1600" t="s">
        <v>2235</v>
      </c>
      <c r="E1600">
        <v>1479</v>
      </c>
    </row>
    <row r="1601" spans="1:5">
      <c r="A1601" t="s">
        <v>2188</v>
      </c>
      <c r="C1601" s="60">
        <v>45948</v>
      </c>
      <c r="D1601" t="s">
        <v>2235</v>
      </c>
      <c r="E1601">
        <v>2999</v>
      </c>
    </row>
    <row r="1602" spans="1:5">
      <c r="A1602" t="s">
        <v>2189</v>
      </c>
      <c r="C1602" s="60">
        <v>45948</v>
      </c>
      <c r="D1602" t="s">
        <v>2235</v>
      </c>
      <c r="E1602">
        <v>2550</v>
      </c>
    </row>
    <row r="1603" spans="1:5">
      <c r="A1603" t="s">
        <v>2190</v>
      </c>
      <c r="C1603" s="60">
        <v>45948</v>
      </c>
      <c r="D1603" t="s">
        <v>2235</v>
      </c>
      <c r="E1603">
        <v>2275</v>
      </c>
    </row>
    <row r="1604" spans="1:5">
      <c r="A1604" t="s">
        <v>2191</v>
      </c>
      <c r="C1604" s="60">
        <v>45948</v>
      </c>
      <c r="D1604" t="s">
        <v>2235</v>
      </c>
      <c r="E1604">
        <v>0</v>
      </c>
    </row>
    <row r="1605" spans="1:5">
      <c r="A1605" t="s">
        <v>2192</v>
      </c>
      <c r="C1605" s="60">
        <v>45948</v>
      </c>
      <c r="D1605" t="s">
        <v>2235</v>
      </c>
      <c r="E1605">
        <v>1119</v>
      </c>
    </row>
    <row r="1606" spans="1:5">
      <c r="A1606" t="s">
        <v>2193</v>
      </c>
      <c r="C1606" s="60">
        <v>45948</v>
      </c>
      <c r="D1606" t="s">
        <v>2235</v>
      </c>
      <c r="E1606">
        <v>928</v>
      </c>
    </row>
    <row r="1607" spans="1:5">
      <c r="A1607" t="s">
        <v>2194</v>
      </c>
      <c r="C1607" s="60">
        <v>45948</v>
      </c>
      <c r="D1607" t="s">
        <v>2235</v>
      </c>
      <c r="E1607">
        <v>3150</v>
      </c>
    </row>
    <row r="1608" spans="1:5">
      <c r="A1608" t="s">
        <v>2195</v>
      </c>
      <c r="C1608" s="60">
        <v>45948</v>
      </c>
      <c r="D1608" t="s">
        <v>2235</v>
      </c>
      <c r="E1608">
        <v>699</v>
      </c>
    </row>
    <row r="1609" spans="1:5">
      <c r="A1609" t="s">
        <v>2196</v>
      </c>
      <c r="C1609" s="60">
        <v>45948</v>
      </c>
      <c r="D1609" t="s">
        <v>2235</v>
      </c>
      <c r="E1609">
        <v>729</v>
      </c>
    </row>
    <row r="1610" spans="1:5">
      <c r="A1610" t="s">
        <v>2197</v>
      </c>
      <c r="C1610" s="60">
        <v>45948</v>
      </c>
      <c r="D1610" t="s">
        <v>2235</v>
      </c>
      <c r="E1610">
        <v>1358</v>
      </c>
    </row>
    <row r="1611" spans="1:5">
      <c r="A1611" t="s">
        <v>2198</v>
      </c>
      <c r="C1611" s="60">
        <v>45948</v>
      </c>
      <c r="D1611" t="s">
        <v>2235</v>
      </c>
      <c r="E1611">
        <v>0</v>
      </c>
    </row>
    <row r="1612" spans="1:5">
      <c r="A1612" t="s">
        <v>2199</v>
      </c>
      <c r="C1612" s="60">
        <v>45948</v>
      </c>
      <c r="D1612" t="s">
        <v>2235</v>
      </c>
      <c r="E1612">
        <v>2050</v>
      </c>
    </row>
    <row r="1613" spans="1:5">
      <c r="A1613" t="s">
        <v>2200</v>
      </c>
      <c r="C1613" s="60">
        <v>45948</v>
      </c>
      <c r="D1613" t="s">
        <v>2235</v>
      </c>
      <c r="E1613">
        <v>1219</v>
      </c>
    </row>
    <row r="1614" spans="1:5">
      <c r="A1614" t="s">
        <v>2201</v>
      </c>
      <c r="C1614" s="60">
        <v>45948</v>
      </c>
      <c r="D1614" t="s">
        <v>2235</v>
      </c>
      <c r="E1614">
        <v>0</v>
      </c>
    </row>
    <row r="1615" spans="1:5">
      <c r="A1615" t="s">
        <v>2202</v>
      </c>
      <c r="C1615" s="60">
        <v>45948</v>
      </c>
      <c r="D1615" t="s">
        <v>2235</v>
      </c>
      <c r="E1615">
        <v>329</v>
      </c>
    </row>
    <row r="1616" spans="1:5">
      <c r="A1616" t="s">
        <v>2203</v>
      </c>
      <c r="C1616" s="60">
        <v>45948</v>
      </c>
      <c r="D1616" t="s">
        <v>2235</v>
      </c>
      <c r="E1616">
        <v>1779</v>
      </c>
    </row>
    <row r="1617" spans="1:5">
      <c r="A1617" t="s">
        <v>2204</v>
      </c>
      <c r="C1617" s="60">
        <v>45948</v>
      </c>
      <c r="D1617" t="s">
        <v>2235</v>
      </c>
      <c r="E1617">
        <v>544</v>
      </c>
    </row>
    <row r="1618" spans="1:5">
      <c r="A1618" t="s">
        <v>2205</v>
      </c>
      <c r="C1618" s="60">
        <v>45948</v>
      </c>
      <c r="D1618" t="s">
        <v>2235</v>
      </c>
      <c r="E1618">
        <v>1499</v>
      </c>
    </row>
    <row r="1619" spans="1:5">
      <c r="A1619" t="s">
        <v>2206</v>
      </c>
      <c r="C1619" s="60">
        <v>45948</v>
      </c>
      <c r="D1619" t="s">
        <v>2235</v>
      </c>
      <c r="E1619">
        <v>0</v>
      </c>
    </row>
    <row r="1620" spans="1:5">
      <c r="A1620" t="s">
        <v>2207</v>
      </c>
      <c r="C1620" s="60">
        <v>45948</v>
      </c>
      <c r="D1620" t="s">
        <v>2235</v>
      </c>
      <c r="E1620">
        <v>1230</v>
      </c>
    </row>
    <row r="1621" spans="1:5">
      <c r="A1621" t="s">
        <v>2208</v>
      </c>
      <c r="C1621" s="60">
        <v>45948</v>
      </c>
      <c r="D1621" t="s">
        <v>2235</v>
      </c>
      <c r="E1621">
        <v>0</v>
      </c>
    </row>
    <row r="1622" spans="1:5">
      <c r="A1622" t="s">
        <v>2209</v>
      </c>
      <c r="C1622" s="60">
        <v>45948</v>
      </c>
      <c r="D1622" t="s">
        <v>2235</v>
      </c>
      <c r="E1622">
        <v>6749</v>
      </c>
    </row>
    <row r="1623" spans="1:5">
      <c r="A1623" t="s">
        <v>2210</v>
      </c>
      <c r="C1623" s="60">
        <v>45948</v>
      </c>
      <c r="D1623" t="s">
        <v>2235</v>
      </c>
      <c r="E1623">
        <v>0</v>
      </c>
    </row>
    <row r="1624" spans="1:5">
      <c r="A1624" t="s">
        <v>2211</v>
      </c>
      <c r="C1624" s="60">
        <v>45948</v>
      </c>
      <c r="D1624" t="s">
        <v>2235</v>
      </c>
      <c r="E1624">
        <v>629</v>
      </c>
    </row>
    <row r="1625" spans="1:5">
      <c r="A1625" t="s">
        <v>2212</v>
      </c>
      <c r="C1625" s="60">
        <v>45948</v>
      </c>
      <c r="D1625" t="s">
        <v>2235</v>
      </c>
      <c r="E1625">
        <v>315</v>
      </c>
    </row>
    <row r="1626" spans="1:5">
      <c r="A1626" t="s">
        <v>2213</v>
      </c>
      <c r="C1626" s="60">
        <v>45948</v>
      </c>
      <c r="D1626" t="s">
        <v>2235</v>
      </c>
      <c r="E1626">
        <v>379</v>
      </c>
    </row>
    <row r="1627" spans="1:5">
      <c r="A1627" t="s">
        <v>2214</v>
      </c>
      <c r="C1627" s="60">
        <v>45948</v>
      </c>
      <c r="D1627" t="s">
        <v>2235</v>
      </c>
      <c r="E1627">
        <v>641</v>
      </c>
    </row>
    <row r="1628" spans="1:5">
      <c r="A1628" t="s">
        <v>2215</v>
      </c>
      <c r="C1628" s="60">
        <v>45948</v>
      </c>
      <c r="D1628" t="s">
        <v>2235</v>
      </c>
      <c r="E1628">
        <v>850</v>
      </c>
    </row>
    <row r="1629" spans="1:5">
      <c r="A1629" t="s">
        <v>2216</v>
      </c>
      <c r="C1629" s="60">
        <v>45948</v>
      </c>
      <c r="D1629" t="s">
        <v>2235</v>
      </c>
      <c r="E1629">
        <v>776</v>
      </c>
    </row>
    <row r="1630" spans="1:5">
      <c r="A1630" t="s">
        <v>2217</v>
      </c>
      <c r="C1630" s="60">
        <v>45948</v>
      </c>
      <c r="D1630" t="s">
        <v>2235</v>
      </c>
      <c r="E1630">
        <v>2000</v>
      </c>
    </row>
    <row r="1631" spans="1:5">
      <c r="A1631" t="s">
        <v>2218</v>
      </c>
      <c r="C1631" s="60">
        <v>45948</v>
      </c>
      <c r="D1631" t="s">
        <v>2235</v>
      </c>
      <c r="E1631">
        <v>3000</v>
      </c>
    </row>
    <row r="1632" spans="1:5">
      <c r="A1632" t="s">
        <v>2219</v>
      </c>
      <c r="C1632" s="60">
        <v>45948</v>
      </c>
      <c r="D1632" t="s">
        <v>2235</v>
      </c>
      <c r="E1632">
        <v>2590</v>
      </c>
    </row>
    <row r="1633" spans="1:5">
      <c r="A1633" t="s">
        <v>2220</v>
      </c>
      <c r="C1633" s="60">
        <v>45948</v>
      </c>
      <c r="D1633" t="s">
        <v>2235</v>
      </c>
      <c r="E1633">
        <v>631</v>
      </c>
    </row>
    <row r="1634" spans="1:5">
      <c r="A1634" t="s">
        <v>2221</v>
      </c>
      <c r="C1634" s="60">
        <v>45948</v>
      </c>
      <c r="D1634" t="s">
        <v>2235</v>
      </c>
      <c r="E1634">
        <v>6000</v>
      </c>
    </row>
    <row r="1635" spans="1:5">
      <c r="A1635" t="s">
        <v>2222</v>
      </c>
      <c r="C1635" s="60">
        <v>45948</v>
      </c>
      <c r="D1635" t="s">
        <v>2235</v>
      </c>
      <c r="E1635">
        <v>3020</v>
      </c>
    </row>
    <row r="1636" spans="1:5">
      <c r="A1636" t="s">
        <v>2223</v>
      </c>
      <c r="C1636" s="60">
        <v>45948</v>
      </c>
      <c r="D1636" t="s">
        <v>2235</v>
      </c>
      <c r="E1636">
        <v>779</v>
      </c>
    </row>
    <row r="1637" spans="1:5">
      <c r="A1637" t="s">
        <v>2224</v>
      </c>
      <c r="C1637" s="60">
        <v>45948</v>
      </c>
      <c r="D1637" t="s">
        <v>2235</v>
      </c>
      <c r="E1637">
        <v>470</v>
      </c>
    </row>
    <row r="1638" spans="1:5">
      <c r="A1638" t="s">
        <v>2225</v>
      </c>
      <c r="C1638" s="60">
        <v>45948</v>
      </c>
      <c r="D1638" t="s">
        <v>2235</v>
      </c>
      <c r="E1638">
        <v>780</v>
      </c>
    </row>
    <row r="1639" spans="1:5">
      <c r="A1639" t="s">
        <v>2226</v>
      </c>
      <c r="C1639" s="60">
        <v>45948</v>
      </c>
      <c r="D1639" t="s">
        <v>2235</v>
      </c>
      <c r="E1639">
        <v>0</v>
      </c>
    </row>
    <row r="1640" spans="1:5">
      <c r="A1640" t="s">
        <v>2227</v>
      </c>
      <c r="C1640" s="60">
        <v>45948</v>
      </c>
      <c r="D1640" t="s">
        <v>2235</v>
      </c>
      <c r="E1640">
        <v>930</v>
      </c>
    </row>
    <row r="1641" spans="1:5">
      <c r="A1641" t="s">
        <v>2228</v>
      </c>
      <c r="C1641" s="60">
        <v>45948</v>
      </c>
      <c r="D1641" t="s">
        <v>2235</v>
      </c>
      <c r="E1641">
        <v>1365</v>
      </c>
    </row>
    <row r="1642" spans="1:5">
      <c r="A1642" t="s">
        <v>2229</v>
      </c>
      <c r="C1642" s="60">
        <v>45948</v>
      </c>
      <c r="D1642" t="s">
        <v>2235</v>
      </c>
      <c r="E1642">
        <v>1030</v>
      </c>
    </row>
    <row r="1643" spans="1:5">
      <c r="A1643" t="s">
        <v>2230</v>
      </c>
      <c r="C1643" s="60">
        <v>45948</v>
      </c>
      <c r="D1643" t="s">
        <v>2235</v>
      </c>
      <c r="E1643">
        <v>2600</v>
      </c>
    </row>
    <row r="1644" spans="1:5">
      <c r="A1644" t="s">
        <v>2231</v>
      </c>
      <c r="C1644" s="60">
        <v>45948</v>
      </c>
      <c r="D1644" t="s">
        <v>2235</v>
      </c>
      <c r="E1644">
        <v>1099</v>
      </c>
    </row>
    <row r="1645" spans="1:5">
      <c r="A1645" t="s">
        <v>2232</v>
      </c>
      <c r="C1645" s="60">
        <v>45948</v>
      </c>
      <c r="D1645" t="s">
        <v>2235</v>
      </c>
      <c r="E1645">
        <v>4950</v>
      </c>
    </row>
    <row r="1646" spans="1:5">
      <c r="A1646" t="s">
        <v>2233</v>
      </c>
      <c r="C1646" s="60">
        <v>45948</v>
      </c>
      <c r="D1646" t="s">
        <v>2235</v>
      </c>
      <c r="E1646">
        <v>1029</v>
      </c>
    </row>
    <row r="1647" spans="1:5">
      <c r="A1647" t="s">
        <v>2234</v>
      </c>
      <c r="C1647" s="60">
        <v>45948</v>
      </c>
      <c r="D1647" t="s">
        <v>2235</v>
      </c>
      <c r="E1647">
        <v>2584</v>
      </c>
    </row>
  </sheetData>
  <autoFilter ref="A1:E1647" xr:uid="{A58918E5-6E0A-47FB-9CDD-85EC0D6270ED}">
    <filterColumn colId="3">
      <filters>
        <filter val="Hold ATK At 18-10-25"/>
      </filters>
    </filterColumn>
    <sortState xmlns:xlrd2="http://schemas.microsoft.com/office/spreadsheetml/2017/richdata2" ref="A1524:E1647">
      <sortCondition ref="D1:D1647"/>
    </sortState>
  </autoFilter>
  <conditionalFormatting sqref="B1648:B1048576 C1003:C1119 J1:J1048576 B1:B267 B375:B495">
    <cfRule type="duplicateValues" dxfId="788" priority="8"/>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8FD4-B50A-4CC9-B6E8-67F904F6B14A}">
  <dimension ref="A1:L120"/>
  <sheetViews>
    <sheetView showGridLines="0" zoomScaleNormal="100" workbookViewId="0">
      <selection activeCell="F28" sqref="F28"/>
    </sheetView>
  </sheetViews>
  <sheetFormatPr defaultRowHeight="15"/>
  <cols>
    <col min="1" max="1" width="17.42578125" bestFit="1" customWidth="1"/>
    <col min="2" max="2" width="13.42578125" bestFit="1" customWidth="1"/>
    <col min="6" max="6" width="14.7109375" bestFit="1" customWidth="1"/>
    <col min="7" max="7" width="15.85546875" customWidth="1"/>
  </cols>
  <sheetData>
    <row r="1" spans="1:10" ht="15.75">
      <c r="A1" s="94" t="s">
        <v>142</v>
      </c>
      <c r="B1" s="96" t="s">
        <v>4503</v>
      </c>
      <c r="F1" t="s">
        <v>17</v>
      </c>
      <c r="G1" t="s">
        <v>142</v>
      </c>
    </row>
    <row r="2" spans="1:10">
      <c r="A2" s="95" t="s">
        <v>4671</v>
      </c>
      <c r="B2" s="142">
        <v>13</v>
      </c>
      <c r="F2" t="s">
        <v>4634</v>
      </c>
      <c r="G2" s="61" t="s">
        <v>4640</v>
      </c>
      <c r="I2" t="e">
        <f>fi</f>
        <v>#NAME?</v>
      </c>
    </row>
    <row r="3" spans="1:10">
      <c r="A3" s="95" t="s">
        <v>4652</v>
      </c>
      <c r="B3" s="142">
        <v>12</v>
      </c>
      <c r="F3">
        <v>9014244992</v>
      </c>
      <c r="G3" s="61" t="s">
        <v>4640</v>
      </c>
    </row>
    <row r="4" spans="1:10">
      <c r="A4" s="95" t="s">
        <v>4640</v>
      </c>
      <c r="B4" s="142">
        <v>9</v>
      </c>
      <c r="F4" t="s">
        <v>4635</v>
      </c>
      <c r="G4" s="61" t="s">
        <v>4640</v>
      </c>
    </row>
    <row r="5" spans="1:10">
      <c r="A5" s="95" t="s">
        <v>4679</v>
      </c>
      <c r="B5" s="142">
        <v>7</v>
      </c>
      <c r="F5" t="s">
        <v>4636</v>
      </c>
      <c r="G5" s="61" t="s">
        <v>4640</v>
      </c>
    </row>
    <row r="6" spans="1:10">
      <c r="A6" s="95" t="s">
        <v>4686</v>
      </c>
      <c r="B6" s="142">
        <v>6</v>
      </c>
      <c r="F6" t="s">
        <v>4637</v>
      </c>
      <c r="G6" s="61" t="s">
        <v>4640</v>
      </c>
    </row>
    <row r="7" spans="1:10">
      <c r="A7" s="95" t="s">
        <v>4655</v>
      </c>
      <c r="B7" s="142">
        <v>5</v>
      </c>
      <c r="F7" t="s">
        <v>4638</v>
      </c>
      <c r="G7" s="61" t="s">
        <v>4640</v>
      </c>
    </row>
    <row r="8" spans="1:10">
      <c r="A8" s="95" t="s">
        <v>4558</v>
      </c>
      <c r="B8" s="142">
        <v>3</v>
      </c>
      <c r="F8" t="s">
        <v>4639</v>
      </c>
      <c r="G8" s="61" t="s">
        <v>4640</v>
      </c>
    </row>
    <row r="9" spans="1:10">
      <c r="A9" s="95" t="s">
        <v>4575</v>
      </c>
      <c r="B9" s="142">
        <v>2</v>
      </c>
      <c r="F9" t="s">
        <v>4641</v>
      </c>
      <c r="G9" s="61" t="s">
        <v>4640</v>
      </c>
    </row>
    <row r="10" spans="1:10">
      <c r="A10" s="95" t="s">
        <v>4688</v>
      </c>
      <c r="B10" s="142"/>
      <c r="F10" t="s">
        <v>4642</v>
      </c>
      <c r="G10" s="61" t="s">
        <v>4640</v>
      </c>
      <c r="J10" s="93"/>
    </row>
    <row r="11" spans="1:10" ht="15.75">
      <c r="A11" s="94" t="s">
        <v>4504</v>
      </c>
      <c r="B11" s="143">
        <v>57</v>
      </c>
      <c r="F11" t="s">
        <v>4643</v>
      </c>
      <c r="G11" s="61" t="s">
        <v>4652</v>
      </c>
    </row>
    <row r="12" spans="1:10">
      <c r="F12" t="s">
        <v>4644</v>
      </c>
      <c r="G12" s="61" t="s">
        <v>4652</v>
      </c>
    </row>
    <row r="13" spans="1:10">
      <c r="F13">
        <v>7530189923</v>
      </c>
      <c r="G13" s="61" t="s">
        <v>4652</v>
      </c>
    </row>
    <row r="14" spans="1:10">
      <c r="F14" t="s">
        <v>4645</v>
      </c>
      <c r="G14" s="61" t="s">
        <v>4652</v>
      </c>
    </row>
    <row r="15" spans="1:10">
      <c r="F15" t="s">
        <v>4646</v>
      </c>
      <c r="G15" s="61" t="s">
        <v>4652</v>
      </c>
    </row>
    <row r="16" spans="1:10">
      <c r="F16" t="s">
        <v>4647</v>
      </c>
      <c r="G16" s="61" t="s">
        <v>4652</v>
      </c>
    </row>
    <row r="17" spans="2:12">
      <c r="F17" t="s">
        <v>4648</v>
      </c>
      <c r="G17" s="61" t="s">
        <v>4652</v>
      </c>
    </row>
    <row r="18" spans="2:12">
      <c r="B18" t="s">
        <v>4535</v>
      </c>
      <c r="C18" t="s">
        <v>1364</v>
      </c>
      <c r="F18" t="s">
        <v>4649</v>
      </c>
      <c r="G18" s="61" t="s">
        <v>4652</v>
      </c>
    </row>
    <row r="19" spans="2:12">
      <c r="B19" s="3">
        <v>49156</v>
      </c>
      <c r="C19" t="s">
        <v>4479</v>
      </c>
      <c r="F19" t="s">
        <v>4650</v>
      </c>
      <c r="G19" s="61" t="s">
        <v>4652</v>
      </c>
    </row>
    <row r="20" spans="2:12">
      <c r="B20" s="3">
        <v>50540</v>
      </c>
      <c r="C20" t="s">
        <v>4479</v>
      </c>
      <c r="F20" t="s">
        <v>4651</v>
      </c>
      <c r="G20" s="61" t="s">
        <v>4652</v>
      </c>
    </row>
    <row r="21" spans="2:12">
      <c r="B21" s="3">
        <v>50539</v>
      </c>
      <c r="C21" t="s">
        <v>4479</v>
      </c>
      <c r="F21">
        <v>7530196088</v>
      </c>
      <c r="G21" t="s">
        <v>4655</v>
      </c>
      <c r="H21">
        <v>267</v>
      </c>
      <c r="I21">
        <v>1.5</v>
      </c>
      <c r="J21">
        <f>I21*H21</f>
        <v>400.5</v>
      </c>
      <c r="K21">
        <v>9</v>
      </c>
      <c r="L21">
        <f>J21/K21</f>
        <v>44.5</v>
      </c>
    </row>
    <row r="22" spans="2:12">
      <c r="F22" t="s">
        <v>4653</v>
      </c>
      <c r="G22" t="s">
        <v>4655</v>
      </c>
    </row>
    <row r="23" spans="2:12">
      <c r="F23" t="s">
        <v>4654</v>
      </c>
      <c r="G23" t="s">
        <v>4655</v>
      </c>
    </row>
    <row r="24" spans="2:12">
      <c r="F24">
        <v>9014247814</v>
      </c>
      <c r="G24" t="s">
        <v>4655</v>
      </c>
    </row>
    <row r="25" spans="2:12">
      <c r="F25" t="s">
        <v>4656</v>
      </c>
      <c r="G25" t="s">
        <v>4575</v>
      </c>
    </row>
    <row r="26" spans="2:12">
      <c r="F26" t="s">
        <v>4657</v>
      </c>
      <c r="G26" t="s">
        <v>4575</v>
      </c>
    </row>
    <row r="27" spans="2:12">
      <c r="F27" t="s">
        <v>4658</v>
      </c>
      <c r="G27" t="s">
        <v>4655</v>
      </c>
    </row>
    <row r="28" spans="2:12">
      <c r="F28" t="s">
        <v>4659</v>
      </c>
      <c r="G28" s="61" t="s">
        <v>4671</v>
      </c>
    </row>
    <row r="29" spans="2:12">
      <c r="F29" t="s">
        <v>4660</v>
      </c>
      <c r="G29" s="61" t="s">
        <v>4671</v>
      </c>
    </row>
    <row r="30" spans="2:12">
      <c r="F30" t="s">
        <v>4661</v>
      </c>
      <c r="G30" s="61" t="s">
        <v>4671</v>
      </c>
    </row>
    <row r="31" spans="2:12">
      <c r="F31" t="s">
        <v>4662</v>
      </c>
      <c r="G31" s="61" t="s">
        <v>4671</v>
      </c>
    </row>
    <row r="32" spans="2:12">
      <c r="F32">
        <v>7515384006</v>
      </c>
      <c r="G32" s="61" t="s">
        <v>4671</v>
      </c>
    </row>
    <row r="33" spans="6:7">
      <c r="F33" t="s">
        <v>4663</v>
      </c>
      <c r="G33" s="61" t="s">
        <v>4671</v>
      </c>
    </row>
    <row r="34" spans="6:7">
      <c r="F34" t="s">
        <v>4664</v>
      </c>
      <c r="G34" s="61" t="s">
        <v>4671</v>
      </c>
    </row>
    <row r="35" spans="6:7">
      <c r="F35" t="s">
        <v>4665</v>
      </c>
      <c r="G35" s="61" t="s">
        <v>4671</v>
      </c>
    </row>
    <row r="36" spans="6:7">
      <c r="F36" t="s">
        <v>4666</v>
      </c>
      <c r="G36" s="61" t="s">
        <v>4671</v>
      </c>
    </row>
    <row r="37" spans="6:7">
      <c r="F37" t="s">
        <v>4667</v>
      </c>
      <c r="G37" s="61" t="s">
        <v>4671</v>
      </c>
    </row>
    <row r="38" spans="6:7">
      <c r="F38" t="s">
        <v>4668</v>
      </c>
      <c r="G38" s="61" t="s">
        <v>4671</v>
      </c>
    </row>
    <row r="39" spans="6:7">
      <c r="F39" t="s">
        <v>4669</v>
      </c>
      <c r="G39" s="61" t="s">
        <v>4671</v>
      </c>
    </row>
    <row r="40" spans="6:7">
      <c r="F40" t="s">
        <v>4670</v>
      </c>
      <c r="G40" s="61" t="s">
        <v>4671</v>
      </c>
    </row>
    <row r="41" spans="6:7">
      <c r="F41" t="s">
        <v>4672</v>
      </c>
      <c r="G41" t="s">
        <v>4652</v>
      </c>
    </row>
    <row r="42" spans="6:7">
      <c r="F42" t="s">
        <v>4673</v>
      </c>
      <c r="G42" t="s">
        <v>4652</v>
      </c>
    </row>
    <row r="43" spans="6:7">
      <c r="F43">
        <v>7531407378</v>
      </c>
      <c r="G43" t="s">
        <v>4558</v>
      </c>
    </row>
    <row r="44" spans="6:7">
      <c r="F44">
        <v>7530627206</v>
      </c>
      <c r="G44" t="s">
        <v>4558</v>
      </c>
    </row>
    <row r="45" spans="6:7">
      <c r="F45">
        <v>7531400483</v>
      </c>
      <c r="G45" t="s">
        <v>4558</v>
      </c>
    </row>
    <row r="46" spans="6:7">
      <c r="F46" t="s">
        <v>4674</v>
      </c>
      <c r="G46" s="61" t="s">
        <v>4679</v>
      </c>
    </row>
    <row r="47" spans="6:7">
      <c r="F47" t="s">
        <v>4675</v>
      </c>
      <c r="G47" s="61" t="s">
        <v>4679</v>
      </c>
    </row>
    <row r="48" spans="6:7">
      <c r="F48" t="s">
        <v>4676</v>
      </c>
      <c r="G48" s="61" t="s">
        <v>4679</v>
      </c>
    </row>
    <row r="49" spans="6:7">
      <c r="F49">
        <v>7531380046</v>
      </c>
      <c r="G49" s="61" t="s">
        <v>4679</v>
      </c>
    </row>
    <row r="50" spans="6:7">
      <c r="F50" t="s">
        <v>4677</v>
      </c>
      <c r="G50" s="61" t="s">
        <v>4679</v>
      </c>
    </row>
    <row r="51" spans="6:7">
      <c r="F51" t="s">
        <v>4678</v>
      </c>
      <c r="G51" s="61" t="s">
        <v>4679</v>
      </c>
    </row>
    <row r="52" spans="6:7">
      <c r="F52" t="s">
        <v>4680</v>
      </c>
      <c r="G52" s="61" t="s">
        <v>4679</v>
      </c>
    </row>
    <row r="53" spans="6:7">
      <c r="F53" t="s">
        <v>4681</v>
      </c>
      <c r="G53" s="61" t="s">
        <v>4686</v>
      </c>
    </row>
    <row r="54" spans="6:7">
      <c r="F54" t="s">
        <v>4682</v>
      </c>
      <c r="G54" s="61" t="s">
        <v>4686</v>
      </c>
    </row>
    <row r="55" spans="6:7">
      <c r="F55" t="s">
        <v>4683</v>
      </c>
      <c r="G55" s="61" t="s">
        <v>4686</v>
      </c>
    </row>
    <row r="56" spans="6:7">
      <c r="F56" t="s">
        <v>4684</v>
      </c>
      <c r="G56" s="61" t="s">
        <v>4686</v>
      </c>
    </row>
    <row r="57" spans="6:7">
      <c r="F57" t="s">
        <v>4685</v>
      </c>
      <c r="G57" s="61" t="s">
        <v>4686</v>
      </c>
    </row>
    <row r="58" spans="6:7">
      <c r="F58" t="s">
        <v>4687</v>
      </c>
      <c r="G58" s="61" t="s">
        <v>4686</v>
      </c>
    </row>
    <row r="59" spans="6:7">
      <c r="G59" s="61"/>
    </row>
    <row r="60" spans="6:7">
      <c r="G60" s="61"/>
    </row>
    <row r="61" spans="6:7">
      <c r="G61" s="61"/>
    </row>
    <row r="63" spans="6:7">
      <c r="G63" s="61"/>
    </row>
    <row r="65" spans="7:7">
      <c r="G65" s="61"/>
    </row>
    <row r="66" spans="7:7">
      <c r="G66" s="61"/>
    </row>
    <row r="67" spans="7:7">
      <c r="G67" s="61"/>
    </row>
    <row r="69" spans="7:7">
      <c r="G69" s="61"/>
    </row>
    <row r="70" spans="7:7">
      <c r="G70" s="61"/>
    </row>
    <row r="71" spans="7:7">
      <c r="G71" s="61"/>
    </row>
    <row r="72" spans="7:7">
      <c r="G72" s="61"/>
    </row>
    <row r="74" spans="7:7">
      <c r="G74" s="61"/>
    </row>
    <row r="75" spans="7:7">
      <c r="G75" s="61"/>
    </row>
    <row r="76" spans="7:7">
      <c r="G76" s="61"/>
    </row>
    <row r="79" spans="7:7">
      <c r="G79" s="61"/>
    </row>
    <row r="80" spans="7:7">
      <c r="G80" s="61"/>
    </row>
    <row r="81" spans="7:7">
      <c r="G81" s="61"/>
    </row>
    <row r="82" spans="7:7">
      <c r="G82" s="61"/>
    </row>
    <row r="83" spans="7:7">
      <c r="G83" s="61"/>
    </row>
    <row r="84" spans="7:7">
      <c r="G84" s="61"/>
    </row>
    <row r="85" spans="7:7">
      <c r="G85" s="61"/>
    </row>
    <row r="86" spans="7:7">
      <c r="G86" s="61"/>
    </row>
    <row r="87" spans="7:7">
      <c r="G87" s="61"/>
    </row>
    <row r="88" spans="7:7">
      <c r="G88" s="61"/>
    </row>
    <row r="89" spans="7:7">
      <c r="G89" s="61"/>
    </row>
    <row r="90" spans="7:7">
      <c r="G90" s="61"/>
    </row>
    <row r="92" spans="7:7">
      <c r="G92" s="61"/>
    </row>
    <row r="93" spans="7:7">
      <c r="G93" s="61"/>
    </row>
    <row r="94" spans="7:7">
      <c r="G94" s="61"/>
    </row>
    <row r="95" spans="7:7">
      <c r="G95" s="61"/>
    </row>
    <row r="96" spans="7:7">
      <c r="G96" s="61"/>
    </row>
    <row r="97" spans="7:7">
      <c r="G97" s="61"/>
    </row>
    <row r="99" spans="7:7">
      <c r="G99" s="61"/>
    </row>
    <row r="100" spans="7:7">
      <c r="G100" s="61"/>
    </row>
    <row r="102" spans="7:7">
      <c r="G102" s="61"/>
    </row>
    <row r="103" spans="7:7">
      <c r="G103" s="61"/>
    </row>
    <row r="104" spans="7:7">
      <c r="G104" s="61"/>
    </row>
    <row r="105" spans="7:7">
      <c r="G105" s="61"/>
    </row>
    <row r="106" spans="7:7">
      <c r="G106" s="61"/>
    </row>
    <row r="108" spans="7:7">
      <c r="G108" s="61"/>
    </row>
    <row r="109" spans="7:7">
      <c r="G109" s="61"/>
    </row>
    <row r="112" spans="7:7">
      <c r="G112" s="61"/>
    </row>
    <row r="113" spans="7:7">
      <c r="G113" s="61"/>
    </row>
    <row r="115" spans="7:7">
      <c r="G115" s="61"/>
    </row>
    <row r="117" spans="7:7">
      <c r="G117" s="61"/>
    </row>
    <row r="118" spans="7:7">
      <c r="G118" s="61"/>
    </row>
    <row r="120" spans="7:7">
      <c r="G120" s="61"/>
    </row>
  </sheetData>
  <conditionalFormatting sqref="F1:F1048576">
    <cfRule type="duplicateValues" dxfId="787" priority="2"/>
  </conditionalFormatting>
  <conditionalFormatting sqref="F2:F120">
    <cfRule type="duplicateValues" dxfId="786" priority="1"/>
  </conditionalFormatting>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8D422-61B8-4B1C-BC82-8EFF4137C851}">
  <dimension ref="A1:N18"/>
  <sheetViews>
    <sheetView showGridLines="0" workbookViewId="0">
      <selection activeCell="C18" sqref="C18"/>
    </sheetView>
  </sheetViews>
  <sheetFormatPr defaultRowHeight="15"/>
  <cols>
    <col min="1" max="1" width="12.140625" bestFit="1" customWidth="1"/>
    <col min="2" max="2" width="14.140625" bestFit="1" customWidth="1"/>
    <col min="3" max="3" width="10.42578125" bestFit="1" customWidth="1"/>
    <col min="4" max="4" width="7.85546875" bestFit="1" customWidth="1"/>
    <col min="5" max="5" width="6.7109375" bestFit="1" customWidth="1"/>
    <col min="6" max="6" width="10.42578125" bestFit="1" customWidth="1"/>
    <col min="7" max="7" width="11.42578125" bestFit="1" customWidth="1"/>
    <col min="8" max="8" width="11" bestFit="1" customWidth="1"/>
    <col min="9" max="9" width="11.7109375" bestFit="1" customWidth="1"/>
    <col min="10" max="10" width="12" bestFit="1" customWidth="1"/>
    <col min="11" max="11" width="12" customWidth="1"/>
    <col min="12" max="12" width="8.42578125" customWidth="1"/>
    <col min="14" max="14" width="6" bestFit="1" customWidth="1"/>
  </cols>
  <sheetData>
    <row r="1" spans="1:14">
      <c r="A1" s="14" t="s">
        <v>25</v>
      </c>
      <c r="B1" s="16" t="s">
        <v>17</v>
      </c>
      <c r="C1" s="16" t="s">
        <v>14</v>
      </c>
      <c r="D1" s="11" t="s">
        <v>24</v>
      </c>
    </row>
    <row r="2" spans="1:14">
      <c r="A2" s="25" t="s">
        <v>4847</v>
      </c>
      <c r="B2" s="25" t="s">
        <v>4838</v>
      </c>
      <c r="C2" s="25">
        <v>1200</v>
      </c>
      <c r="D2" s="8">
        <f>SUM(C2:C1048576)</f>
        <v>97416</v>
      </c>
      <c r="E2" s="14" t="s">
        <v>18</v>
      </c>
      <c r="F2" s="14" t="s">
        <v>19</v>
      </c>
      <c r="G2" s="173" t="s">
        <v>20</v>
      </c>
      <c r="H2" s="173"/>
      <c r="I2" s="173"/>
      <c r="J2" s="173"/>
      <c r="K2" s="173"/>
      <c r="L2" s="173"/>
    </row>
    <row r="3" spans="1:14">
      <c r="A3" s="25" t="s">
        <v>4847</v>
      </c>
      <c r="B3" s="25" t="s">
        <v>4778</v>
      </c>
      <c r="C3" s="25">
        <v>1480</v>
      </c>
      <c r="D3">
        <v>2</v>
      </c>
      <c r="E3" s="1"/>
      <c r="F3" s="2"/>
      <c r="G3" s="105"/>
      <c r="H3" s="106"/>
      <c r="I3" s="106"/>
      <c r="J3" s="106"/>
      <c r="K3" s="106"/>
      <c r="L3" s="12"/>
      <c r="N3">
        <v>10000</v>
      </c>
    </row>
    <row r="4" spans="1:14">
      <c r="A4" s="1" t="s">
        <v>4846</v>
      </c>
      <c r="B4" s="1" t="s">
        <v>4841</v>
      </c>
      <c r="C4" s="1">
        <v>1595</v>
      </c>
      <c r="D4">
        <f>D2/D3</f>
        <v>48708</v>
      </c>
      <c r="E4" s="1"/>
      <c r="F4" s="2"/>
      <c r="G4" s="105"/>
      <c r="H4" s="106"/>
      <c r="I4" s="106"/>
      <c r="J4" s="106"/>
      <c r="K4" s="106"/>
      <c r="L4" s="12"/>
      <c r="N4">
        <v>3000</v>
      </c>
    </row>
    <row r="5" spans="1:14" s="26" customFormat="1">
      <c r="A5" s="25" t="s">
        <v>4847</v>
      </c>
      <c r="B5" s="25" t="s">
        <v>4773</v>
      </c>
      <c r="C5" s="25">
        <v>1749</v>
      </c>
      <c r="E5" s="25"/>
      <c r="F5" s="118"/>
      <c r="G5" s="119"/>
      <c r="H5" s="120"/>
      <c r="I5" s="120"/>
      <c r="J5" s="120"/>
      <c r="K5" s="120"/>
      <c r="L5" s="121"/>
    </row>
    <row r="6" spans="1:14">
      <c r="A6" s="25" t="s">
        <v>4847</v>
      </c>
      <c r="B6" s="25" t="s">
        <v>4776</v>
      </c>
      <c r="C6" s="25">
        <v>1755</v>
      </c>
      <c r="E6" s="1"/>
      <c r="F6" s="2"/>
      <c r="G6" s="105"/>
      <c r="H6" s="106"/>
      <c r="I6" s="106"/>
      <c r="J6" s="106"/>
      <c r="K6" s="106"/>
      <c r="L6" s="1"/>
    </row>
    <row r="7" spans="1:14">
      <c r="A7" s="1" t="s">
        <v>4846</v>
      </c>
      <c r="B7" s="25" t="s">
        <v>4842</v>
      </c>
      <c r="C7" s="25">
        <v>1800</v>
      </c>
      <c r="E7" s="1"/>
      <c r="F7" s="2"/>
      <c r="G7" s="105"/>
      <c r="H7" s="106"/>
      <c r="I7" s="106"/>
      <c r="J7" s="106"/>
      <c r="K7" s="106"/>
      <c r="L7" s="1"/>
    </row>
    <row r="8" spans="1:14">
      <c r="A8" s="25" t="s">
        <v>4847</v>
      </c>
      <c r="B8" s="25" t="s">
        <v>4772</v>
      </c>
      <c r="C8" s="25">
        <v>1808</v>
      </c>
      <c r="E8" s="1"/>
      <c r="F8" s="2"/>
      <c r="G8" s="105"/>
      <c r="H8" s="106"/>
      <c r="I8" s="106"/>
      <c r="J8" s="106"/>
      <c r="K8" s="106"/>
      <c r="L8" s="1"/>
    </row>
    <row r="9" spans="1:14">
      <c r="A9" s="25" t="s">
        <v>4847</v>
      </c>
      <c r="B9" s="25" t="s">
        <v>4837</v>
      </c>
      <c r="C9" s="25">
        <v>2180</v>
      </c>
      <c r="E9" s="1"/>
      <c r="F9" s="2"/>
      <c r="G9" s="105"/>
      <c r="H9" s="106"/>
      <c r="I9" s="106"/>
      <c r="J9" s="106"/>
      <c r="K9" s="106"/>
      <c r="L9" s="1"/>
    </row>
    <row r="10" spans="1:14">
      <c r="A10" s="25" t="s">
        <v>4847</v>
      </c>
      <c r="B10" s="25" t="s">
        <v>4775</v>
      </c>
      <c r="C10" s="25">
        <v>2500</v>
      </c>
      <c r="E10" s="1"/>
      <c r="F10" s="2"/>
      <c r="G10" s="105"/>
      <c r="H10" s="106"/>
      <c r="I10" s="106"/>
      <c r="J10" s="106"/>
      <c r="K10" s="106"/>
      <c r="L10" s="1"/>
    </row>
    <row r="11" spans="1:14">
      <c r="A11" s="25" t="s">
        <v>4847</v>
      </c>
      <c r="B11" s="25" t="s">
        <v>4777</v>
      </c>
      <c r="C11" s="25">
        <v>2600</v>
      </c>
      <c r="E11" s="1"/>
      <c r="F11" s="2"/>
      <c r="G11" s="105"/>
      <c r="H11" s="106"/>
      <c r="I11" s="106"/>
      <c r="J11" s="106"/>
      <c r="K11" s="1"/>
      <c r="L11" s="1"/>
    </row>
    <row r="12" spans="1:14">
      <c r="A12" s="25" t="s">
        <v>4847</v>
      </c>
      <c r="B12" s="25" t="s">
        <v>4774</v>
      </c>
      <c r="C12" s="25">
        <v>3100</v>
      </c>
      <c r="E12" s="1"/>
      <c r="F12" s="2"/>
      <c r="G12" s="105"/>
      <c r="H12" s="106"/>
      <c r="I12" s="106"/>
      <c r="J12" s="106"/>
      <c r="K12" s="106"/>
      <c r="L12" s="1"/>
    </row>
    <row r="13" spans="1:14">
      <c r="A13" s="25" t="s">
        <v>4856</v>
      </c>
      <c r="B13" s="25" t="s">
        <v>4853</v>
      </c>
      <c r="C13" s="149">
        <v>9600</v>
      </c>
      <c r="E13" s="1"/>
      <c r="F13" s="2"/>
      <c r="G13" s="105"/>
      <c r="H13" s="106"/>
      <c r="I13" s="106"/>
      <c r="J13" s="106"/>
      <c r="K13" s="106"/>
      <c r="L13" s="1"/>
    </row>
    <row r="14" spans="1:14">
      <c r="A14" s="25" t="s">
        <v>4856</v>
      </c>
      <c r="B14" s="1" t="s">
        <v>4852</v>
      </c>
      <c r="C14" s="150">
        <v>10000</v>
      </c>
      <c r="E14" s="1"/>
      <c r="F14" s="2"/>
      <c r="G14" s="105"/>
      <c r="H14" s="106"/>
      <c r="I14" s="106"/>
      <c r="J14" s="106"/>
      <c r="K14" s="106"/>
      <c r="L14" s="1"/>
    </row>
    <row r="15" spans="1:14">
      <c r="A15" s="25" t="s">
        <v>4856</v>
      </c>
      <c r="B15" s="151" t="s">
        <v>4849</v>
      </c>
      <c r="C15" s="1">
        <v>10200</v>
      </c>
      <c r="E15" s="1"/>
      <c r="F15" s="2"/>
      <c r="G15" s="105"/>
      <c r="H15" s="1"/>
      <c r="I15" s="106"/>
      <c r="J15" s="106"/>
      <c r="K15" s="106"/>
      <c r="L15" s="1"/>
    </row>
    <row r="16" spans="1:14">
      <c r="A16" s="25" t="s">
        <v>4856</v>
      </c>
      <c r="B16" s="151" t="s">
        <v>4848</v>
      </c>
      <c r="C16" s="1">
        <v>10249</v>
      </c>
      <c r="E16" s="1"/>
      <c r="F16" s="2"/>
      <c r="G16" s="105"/>
      <c r="H16" s="106"/>
      <c r="I16" s="106"/>
      <c r="J16" s="106"/>
      <c r="K16" s="106"/>
      <c r="L16" s="1"/>
    </row>
    <row r="17" spans="1:12">
      <c r="A17" s="25" t="s">
        <v>4856</v>
      </c>
      <c r="B17" s="1" t="s">
        <v>4854</v>
      </c>
      <c r="C17" s="1">
        <v>10600</v>
      </c>
      <c r="E17" s="1"/>
      <c r="F17" s="2"/>
      <c r="G17" s="105"/>
      <c r="H17" s="1"/>
      <c r="I17" s="106"/>
      <c r="J17" s="106"/>
      <c r="K17" s="106"/>
      <c r="L17" s="1"/>
    </row>
    <row r="18" spans="1:12">
      <c r="A18" s="25" t="s">
        <v>4847</v>
      </c>
      <c r="B18" s="25" t="s">
        <v>4771</v>
      </c>
      <c r="C18" s="25">
        <v>25000</v>
      </c>
      <c r="E18" s="1"/>
      <c r="F18" s="2"/>
      <c r="G18" s="1"/>
      <c r="H18" s="1"/>
      <c r="I18" s="106"/>
      <c r="J18" s="106"/>
      <c r="K18" s="106"/>
      <c r="L18" s="1"/>
    </row>
  </sheetData>
  <autoFilter ref="A1:C18" xr:uid="{1D48D422-61B8-4B1C-BC82-8EFF4137C851}">
    <sortState xmlns:xlrd2="http://schemas.microsoft.com/office/spreadsheetml/2017/richdata2" ref="A2:C18">
      <sortCondition ref="C1:C18"/>
    </sortState>
  </autoFilter>
  <dataConsolidate/>
  <mergeCells count="1">
    <mergeCell ref="G2:L2"/>
  </mergeCells>
  <conditionalFormatting sqref="B1">
    <cfRule type="duplicateValues" dxfId="785" priority="201"/>
    <cfRule type="duplicateValues" dxfId="784" priority="202"/>
  </conditionalFormatting>
  <conditionalFormatting sqref="B2:B11">
    <cfRule type="duplicateValues" dxfId="783" priority="9461"/>
  </conditionalFormatting>
  <conditionalFormatting sqref="B15:B1048576 B1 B12">
    <cfRule type="duplicateValues" dxfId="782" priority="2046"/>
  </conditionalFormatting>
  <conditionalFormatting sqref="B15:B1048576 B1:B12">
    <cfRule type="duplicateValues" dxfId="781" priority="8"/>
  </conditionalFormatting>
  <conditionalFormatting sqref="E1:E1048576">
    <cfRule type="duplicateValues" dxfId="780" priority="1"/>
  </conditionalFormatting>
  <conditionalFormatting sqref="E3:E18">
    <cfRule type="duplicateValues" dxfId="779" priority="11108"/>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CE92-BD69-44E1-A393-EB328EA937B6}">
  <sheetPr>
    <pageSetUpPr fitToPage="1"/>
  </sheetPr>
  <dimension ref="A1:L29"/>
  <sheetViews>
    <sheetView workbookViewId="0">
      <selection activeCell="B2" sqref="B2"/>
    </sheetView>
  </sheetViews>
  <sheetFormatPr defaultRowHeight="15"/>
  <cols>
    <col min="1" max="1" width="19" bestFit="1" customWidth="1"/>
    <col min="2" max="2" width="18.85546875" bestFit="1" customWidth="1"/>
    <col min="3" max="3" width="18.28515625" bestFit="1" customWidth="1"/>
    <col min="4" max="4" width="10.42578125" bestFit="1" customWidth="1"/>
    <col min="5" max="5" width="10.28515625" bestFit="1" customWidth="1"/>
    <col min="6" max="6" width="16.7109375" bestFit="1" customWidth="1"/>
    <col min="7" max="7" width="23" bestFit="1" customWidth="1"/>
    <col min="8" max="8" width="15" bestFit="1" customWidth="1"/>
    <col min="9" max="9" width="17.7109375" bestFit="1" customWidth="1"/>
    <col min="10" max="10" width="17.42578125" bestFit="1" customWidth="1"/>
    <col min="11" max="11" width="14.5703125" bestFit="1" customWidth="1"/>
    <col min="12" max="12" width="18.140625" bestFit="1" customWidth="1"/>
  </cols>
  <sheetData>
    <row r="1" spans="1:12">
      <c r="A1" s="98" t="s">
        <v>18</v>
      </c>
      <c r="B1" s="98" t="s">
        <v>4508</v>
      </c>
      <c r="C1" s="98" t="s">
        <v>4512</v>
      </c>
      <c r="D1" s="103" t="s">
        <v>4513</v>
      </c>
      <c r="E1" s="103" t="s">
        <v>4514</v>
      </c>
      <c r="F1" s="103" t="s">
        <v>4515</v>
      </c>
      <c r="G1" s="103" t="s">
        <v>4516</v>
      </c>
      <c r="H1" s="103" t="s">
        <v>4517</v>
      </c>
      <c r="I1" s="103" t="s">
        <v>4518</v>
      </c>
      <c r="J1" s="103" t="s">
        <v>4519</v>
      </c>
      <c r="K1" s="103" t="s">
        <v>4520</v>
      </c>
      <c r="L1" s="103" t="s">
        <v>4509</v>
      </c>
    </row>
    <row r="2" spans="1:12">
      <c r="A2" s="1" t="s">
        <v>4510</v>
      </c>
      <c r="B2" s="2">
        <v>0</v>
      </c>
      <c r="C2" s="1">
        <v>5</v>
      </c>
      <c r="D2" s="2">
        <v>17000</v>
      </c>
      <c r="E2" s="2">
        <v>30</v>
      </c>
      <c r="F2" s="104">
        <f>Table2[[#This Row],[Basic ]]/Table2[[#This Row],[Day''s]]</f>
        <v>566.66666666666663</v>
      </c>
      <c r="G2" s="104">
        <f>Table2[[#This Row],[Per day AMT]]*Table2[[#This Row],[ Extra  Day count ]]</f>
        <v>2833.333333333333</v>
      </c>
      <c r="H2" s="2">
        <v>2</v>
      </c>
      <c r="I2" s="2">
        <v>267</v>
      </c>
      <c r="J2" s="2">
        <f>Table2[[#This Row],[Per Liter AMT]]*Table2[[#This Row],[Fuel liter''s]]</f>
        <v>534</v>
      </c>
      <c r="K2" s="2">
        <f>Table2[[#This Row],[T -F- Amount ]]*Table2[[#This Row],[ Extra  Day count ]]</f>
        <v>2670</v>
      </c>
      <c r="L2" s="104">
        <f>Table2[[#This Row],[A F D AMT]]+Table2[[#This Row],[Total Amount Day''s]]</f>
        <v>5503.333333333333</v>
      </c>
    </row>
    <row r="3" spans="1:12">
      <c r="A3" s="1" t="s">
        <v>4511</v>
      </c>
      <c r="B3" s="2">
        <v>0</v>
      </c>
      <c r="C3" s="1">
        <v>5</v>
      </c>
      <c r="D3" s="2">
        <v>17000</v>
      </c>
      <c r="E3" s="2">
        <v>30</v>
      </c>
      <c r="F3" s="104">
        <f>Table2[[#This Row],[Basic ]]/Table2[[#This Row],[Day''s]]</f>
        <v>566.66666666666663</v>
      </c>
      <c r="G3" s="104">
        <f>Table2[[#This Row],[Per day AMT]]*Table2[[#This Row],[ Extra  Day count ]]</f>
        <v>2833.333333333333</v>
      </c>
      <c r="H3" s="2">
        <v>2</v>
      </c>
      <c r="I3" s="2">
        <v>267</v>
      </c>
      <c r="J3" s="2">
        <f>Table2[[#This Row],[Per Liter AMT]]*Table2[[#This Row],[Fuel liter''s]]</f>
        <v>534</v>
      </c>
      <c r="K3" s="2">
        <f>Table2[[#This Row],[T -F- Amount ]]*Table2[[#This Row],[ Extra  Day count ]]</f>
        <v>2670</v>
      </c>
      <c r="L3" s="104">
        <f>Table2[[#This Row],[A F D AMT]]+Table2[[#This Row],[Total Amount Day''s]]</f>
        <v>5503.333333333333</v>
      </c>
    </row>
    <row r="4" spans="1:12">
      <c r="A4" s="1" t="s">
        <v>4499</v>
      </c>
      <c r="B4" s="2">
        <v>0</v>
      </c>
      <c r="C4" s="1">
        <v>5</v>
      </c>
      <c r="D4" s="2">
        <v>17000</v>
      </c>
      <c r="E4" s="2">
        <v>30</v>
      </c>
      <c r="F4" s="104">
        <f>Table2[[#This Row],[Basic ]]/Table2[[#This Row],[Day''s]]</f>
        <v>566.66666666666663</v>
      </c>
      <c r="G4" s="104">
        <f>Table2[[#This Row],[Per day AMT]]*Table2[[#This Row],[ Extra  Day count ]]</f>
        <v>2833.333333333333</v>
      </c>
      <c r="H4" s="2">
        <v>2.5</v>
      </c>
      <c r="I4" s="2">
        <v>267</v>
      </c>
      <c r="J4" s="2">
        <f>Table2[[#This Row],[Per Liter AMT]]*Table2[[#This Row],[Fuel liter''s]]</f>
        <v>667.5</v>
      </c>
      <c r="K4" s="2">
        <f>Table2[[#This Row],[T -F- Amount ]]*Table2[[#This Row],[ Extra  Day count ]]</f>
        <v>3337.5</v>
      </c>
      <c r="L4" s="104">
        <f>Table2[[#This Row],[A F D AMT]]+Table2[[#This Row],[Total Amount Day''s]]</f>
        <v>6170.833333333333</v>
      </c>
    </row>
    <row r="5" spans="1:12">
      <c r="A5" s="1" t="s">
        <v>4507</v>
      </c>
      <c r="B5" s="2">
        <v>1</v>
      </c>
      <c r="C5" s="1">
        <v>4</v>
      </c>
      <c r="D5" s="2">
        <v>17000</v>
      </c>
      <c r="E5" s="2">
        <v>30</v>
      </c>
      <c r="F5" s="104">
        <f>Table2[[#This Row],[Basic ]]/Table2[[#This Row],[Day''s]]</f>
        <v>566.66666666666663</v>
      </c>
      <c r="G5" s="104">
        <f>Table2[[#This Row],[Per day AMT]]*Table2[[#This Row],[ Extra  Day count ]]</f>
        <v>2266.6666666666665</v>
      </c>
      <c r="H5" s="2">
        <v>0</v>
      </c>
      <c r="I5" s="2">
        <v>267</v>
      </c>
      <c r="J5" s="2">
        <f>Table2[[#This Row],[Per Liter AMT]]*Table2[[#This Row],[Fuel liter''s]]</f>
        <v>0</v>
      </c>
      <c r="K5" s="2">
        <f>Table2[[#This Row],[T -F- Amount ]]*Table2[[#This Row],[ Extra  Day count ]]</f>
        <v>0</v>
      </c>
      <c r="L5" s="104">
        <f>Table2[[#This Row],[A F D AMT]]+Table2[[#This Row],[Total Amount Day''s]]</f>
        <v>2266.6666666666665</v>
      </c>
    </row>
    <row r="6" spans="1:12">
      <c r="A6" s="1" t="s">
        <v>4505</v>
      </c>
      <c r="B6" s="2">
        <v>1</v>
      </c>
      <c r="C6" s="1">
        <v>4</v>
      </c>
      <c r="D6" s="2">
        <v>17000</v>
      </c>
      <c r="E6" s="2">
        <v>30</v>
      </c>
      <c r="F6" s="104">
        <f>Table2[[#This Row],[Basic ]]/Table2[[#This Row],[Day''s]]</f>
        <v>566.66666666666663</v>
      </c>
      <c r="G6" s="104">
        <f>Table2[[#This Row],[Per day AMT]]*Table2[[#This Row],[ Extra  Day count ]]</f>
        <v>2266.6666666666665</v>
      </c>
      <c r="H6" s="2">
        <v>2</v>
      </c>
      <c r="I6" s="2">
        <v>267</v>
      </c>
      <c r="J6" s="2">
        <f>Table2[[#This Row],[Per Liter AMT]]*Table2[[#This Row],[Fuel liter''s]]</f>
        <v>534</v>
      </c>
      <c r="K6" s="2">
        <f>Table2[[#This Row],[T -F- Amount ]]*Table2[[#This Row],[ Extra  Day count ]]</f>
        <v>2136</v>
      </c>
      <c r="L6" s="104">
        <f>Table2[[#This Row],[A F D AMT]]+Table2[[#This Row],[Total Amount Day''s]]</f>
        <v>4402.6666666666661</v>
      </c>
    </row>
    <row r="7" spans="1:12">
      <c r="A7" s="1" t="s">
        <v>4500</v>
      </c>
      <c r="B7" s="2">
        <v>1</v>
      </c>
      <c r="C7" s="1">
        <v>4</v>
      </c>
      <c r="D7" s="2">
        <v>17000</v>
      </c>
      <c r="E7" s="2">
        <v>30</v>
      </c>
      <c r="F7" s="104">
        <f>Table2[[#This Row],[Basic ]]/Table2[[#This Row],[Day''s]]</f>
        <v>566.66666666666663</v>
      </c>
      <c r="G7" s="104">
        <f>Table2[[#This Row],[Per day AMT]]*Table2[[#This Row],[ Extra  Day count ]]</f>
        <v>2266.6666666666665</v>
      </c>
      <c r="H7" s="2">
        <v>2</v>
      </c>
      <c r="I7" s="2">
        <v>267</v>
      </c>
      <c r="J7" s="2">
        <f>Table2[[#This Row],[Per Liter AMT]]*Table2[[#This Row],[Fuel liter''s]]</f>
        <v>534</v>
      </c>
      <c r="K7" s="2">
        <f>Table2[[#This Row],[T -F- Amount ]]*Table2[[#This Row],[ Extra  Day count ]]</f>
        <v>2136</v>
      </c>
      <c r="L7" s="104">
        <f>Table2[[#This Row],[A F D AMT]]+Table2[[#This Row],[Total Amount Day''s]]</f>
        <v>4402.6666666666661</v>
      </c>
    </row>
    <row r="8" spans="1:12">
      <c r="A8" s="1" t="s">
        <v>4502</v>
      </c>
      <c r="B8" s="2">
        <v>1</v>
      </c>
      <c r="C8" s="1">
        <v>4</v>
      </c>
      <c r="D8" s="2">
        <v>17000</v>
      </c>
      <c r="E8" s="2">
        <v>30</v>
      </c>
      <c r="F8" s="104">
        <f>Table2[[#This Row],[Basic ]]/Table2[[#This Row],[Day''s]]</f>
        <v>566.66666666666663</v>
      </c>
      <c r="G8" s="104">
        <f>Table2[[#This Row],[Per day AMT]]*Table2[[#This Row],[ Extra  Day count ]]</f>
        <v>2266.6666666666665</v>
      </c>
      <c r="H8" s="2">
        <v>2</v>
      </c>
      <c r="I8" s="2">
        <v>267</v>
      </c>
      <c r="J8" s="2">
        <f>Table2[[#This Row],[Per Liter AMT]]*Table2[[#This Row],[Fuel liter''s]]</f>
        <v>534</v>
      </c>
      <c r="K8" s="2">
        <f>Table2[[#This Row],[T -F- Amount ]]*Table2[[#This Row],[ Extra  Day count ]]</f>
        <v>2136</v>
      </c>
      <c r="L8" s="104">
        <f>Table2[[#This Row],[A F D AMT]]+Table2[[#This Row],[Total Amount Day''s]]</f>
        <v>4402.6666666666661</v>
      </c>
    </row>
    <row r="9" spans="1:12">
      <c r="A9" s="1" t="s">
        <v>4470</v>
      </c>
      <c r="B9" s="2">
        <v>1</v>
      </c>
      <c r="C9" s="1">
        <v>4</v>
      </c>
      <c r="D9" s="2">
        <v>17000</v>
      </c>
      <c r="E9" s="2">
        <v>30</v>
      </c>
      <c r="F9" s="104">
        <f>Table2[[#This Row],[Basic ]]/Table2[[#This Row],[Day''s]]</f>
        <v>566.66666666666663</v>
      </c>
      <c r="G9" s="104">
        <f>Table2[[#This Row],[Per day AMT]]*Table2[[#This Row],[ Extra  Day count ]]</f>
        <v>2266.6666666666665</v>
      </c>
      <c r="H9" s="2">
        <v>2</v>
      </c>
      <c r="I9" s="2">
        <v>267</v>
      </c>
      <c r="J9" s="2">
        <f>Table2[[#This Row],[Per Liter AMT]]*Table2[[#This Row],[Fuel liter''s]]</f>
        <v>534</v>
      </c>
      <c r="K9" s="2">
        <f>Table2[[#This Row],[T -F- Amount ]]*Table2[[#This Row],[ Extra  Day count ]]</f>
        <v>2136</v>
      </c>
      <c r="L9" s="104">
        <f>Table2[[#This Row],[A F D AMT]]+Table2[[#This Row],[Total Amount Day''s]]</f>
        <v>4402.6666666666661</v>
      </c>
    </row>
    <row r="10" spans="1:12">
      <c r="A10" s="1" t="s">
        <v>4506</v>
      </c>
      <c r="B10" s="2">
        <v>1</v>
      </c>
      <c r="C10" s="1">
        <v>4</v>
      </c>
      <c r="D10" s="2">
        <v>17000</v>
      </c>
      <c r="E10" s="2">
        <v>30</v>
      </c>
      <c r="F10" s="104">
        <f>Table2[[#This Row],[Basic ]]/Table2[[#This Row],[Day''s]]</f>
        <v>566.66666666666663</v>
      </c>
      <c r="G10" s="104">
        <f>Table2[[#This Row],[Per day AMT]]*Table2[[#This Row],[ Extra  Day count ]]</f>
        <v>2266.6666666666665</v>
      </c>
      <c r="H10" s="2">
        <v>3</v>
      </c>
      <c r="I10" s="2">
        <v>267</v>
      </c>
      <c r="J10" s="2">
        <f>Table2[[#This Row],[Per Liter AMT]]*Table2[[#This Row],[Fuel liter''s]]</f>
        <v>801</v>
      </c>
      <c r="K10" s="2">
        <f>Table2[[#This Row],[T -F- Amount ]]*Table2[[#This Row],[ Extra  Day count ]]</f>
        <v>3204</v>
      </c>
      <c r="L10" s="104">
        <f>Table2[[#This Row],[A F D AMT]]+Table2[[#This Row],[Total Amount Day''s]]</f>
        <v>5470.6666666666661</v>
      </c>
    </row>
    <row r="11" spans="1:12">
      <c r="A11" s="1" t="s">
        <v>4460</v>
      </c>
      <c r="B11" s="2">
        <v>3</v>
      </c>
      <c r="C11" s="1">
        <v>2</v>
      </c>
      <c r="D11" s="2">
        <v>17000</v>
      </c>
      <c r="E11" s="2">
        <v>30</v>
      </c>
      <c r="F11" s="104">
        <f>Table2[[#This Row],[Basic ]]/Table2[[#This Row],[Day''s]]</f>
        <v>566.66666666666663</v>
      </c>
      <c r="G11" s="104">
        <f>Table2[[#This Row],[Per day AMT]]*Table2[[#This Row],[ Extra  Day count ]]</f>
        <v>1133.3333333333333</v>
      </c>
      <c r="H11" s="2">
        <v>2</v>
      </c>
      <c r="I11" s="2">
        <v>267</v>
      </c>
      <c r="J11" s="2">
        <f>Table2[[#This Row],[Per Liter AMT]]*Table2[[#This Row],[Fuel liter''s]]</f>
        <v>534</v>
      </c>
      <c r="K11" s="2">
        <f>Table2[[#This Row],[T -F- Amount ]]*Table2[[#This Row],[ Extra  Day count ]]</f>
        <v>1068</v>
      </c>
      <c r="L11" s="104">
        <f>Table2[[#This Row],[A F D AMT]]+Table2[[#This Row],[Total Amount Day''s]]</f>
        <v>2201.333333333333</v>
      </c>
    </row>
    <row r="12" spans="1:12">
      <c r="A12" s="1" t="s">
        <v>4465</v>
      </c>
      <c r="B12" s="2">
        <v>3</v>
      </c>
      <c r="C12" s="1">
        <v>2</v>
      </c>
      <c r="D12" s="2">
        <v>17000</v>
      </c>
      <c r="E12" s="2">
        <v>30</v>
      </c>
      <c r="F12" s="104">
        <f>Table2[[#This Row],[Basic ]]/Table2[[#This Row],[Day''s]]</f>
        <v>566.66666666666663</v>
      </c>
      <c r="G12" s="104">
        <f>Table2[[#This Row],[Per day AMT]]*Table2[[#This Row],[ Extra  Day count ]]</f>
        <v>1133.3333333333333</v>
      </c>
      <c r="H12" s="2">
        <v>2</v>
      </c>
      <c r="I12" s="2">
        <v>267</v>
      </c>
      <c r="J12" s="2">
        <f>Table2[[#This Row],[Per Liter AMT]]*Table2[[#This Row],[Fuel liter''s]]</f>
        <v>534</v>
      </c>
      <c r="K12" s="2">
        <f>Table2[[#This Row],[T -F- Amount ]]*Table2[[#This Row],[ Extra  Day count ]]</f>
        <v>1068</v>
      </c>
      <c r="L12" s="104">
        <f>Table2[[#This Row],[A F D AMT]]+Table2[[#This Row],[Total Amount Day''s]]</f>
        <v>2201.333333333333</v>
      </c>
    </row>
    <row r="13" spans="1:12">
      <c r="A13" s="1" t="s">
        <v>4461</v>
      </c>
      <c r="B13" s="2">
        <v>3</v>
      </c>
      <c r="C13" s="1">
        <v>2</v>
      </c>
      <c r="D13" s="2">
        <v>17000</v>
      </c>
      <c r="E13" s="2">
        <v>30</v>
      </c>
      <c r="F13" s="104">
        <f>Table2[[#This Row],[Basic ]]/Table2[[#This Row],[Day''s]]</f>
        <v>566.66666666666663</v>
      </c>
      <c r="G13" s="104">
        <f>Table2[[#This Row],[Per day AMT]]*Table2[[#This Row],[ Extra  Day count ]]</f>
        <v>1133.3333333333333</v>
      </c>
      <c r="H13" s="2">
        <v>2</v>
      </c>
      <c r="I13" s="2">
        <v>267</v>
      </c>
      <c r="J13" s="2">
        <f>Table2[[#This Row],[Per Liter AMT]]*Table2[[#This Row],[Fuel liter''s]]</f>
        <v>534</v>
      </c>
      <c r="K13" s="2">
        <f>Table2[[#This Row],[T -F- Amount ]]*Table2[[#This Row],[ Extra  Day count ]]</f>
        <v>1068</v>
      </c>
      <c r="L13" s="104">
        <f>Table2[[#This Row],[A F D AMT]]+Table2[[#This Row],[Total Amount Day''s]]</f>
        <v>2201.333333333333</v>
      </c>
    </row>
    <row r="14" spans="1:12">
      <c r="A14" s="1" t="s">
        <v>4494</v>
      </c>
      <c r="B14" s="2">
        <v>3</v>
      </c>
      <c r="C14" s="1">
        <v>2</v>
      </c>
      <c r="D14" s="2">
        <v>17000</v>
      </c>
      <c r="E14" s="2">
        <v>30</v>
      </c>
      <c r="F14" s="104">
        <f>Table2[[#This Row],[Basic ]]/Table2[[#This Row],[Day''s]]</f>
        <v>566.66666666666663</v>
      </c>
      <c r="G14" s="104">
        <f>Table2[[#This Row],[Per day AMT]]*Table2[[#This Row],[ Extra  Day count ]]</f>
        <v>1133.3333333333333</v>
      </c>
      <c r="H14" s="2">
        <v>2</v>
      </c>
      <c r="I14" s="2">
        <v>267</v>
      </c>
      <c r="J14" s="2">
        <f>Table2[[#This Row],[Per Liter AMT]]*Table2[[#This Row],[Fuel liter''s]]</f>
        <v>534</v>
      </c>
      <c r="K14" s="2">
        <f>Table2[[#This Row],[T -F- Amount ]]*Table2[[#This Row],[ Extra  Day count ]]</f>
        <v>1068</v>
      </c>
      <c r="L14" s="104">
        <f>Table2[[#This Row],[A F D AMT]]+Table2[[#This Row],[Total Amount Day''s]]</f>
        <v>2201.333333333333</v>
      </c>
    </row>
    <row r="15" spans="1:12">
      <c r="A15" s="1" t="s">
        <v>4469</v>
      </c>
      <c r="B15" s="2">
        <v>3</v>
      </c>
      <c r="C15" s="1">
        <v>2</v>
      </c>
      <c r="D15" s="2">
        <v>17000</v>
      </c>
      <c r="E15" s="2">
        <v>30</v>
      </c>
      <c r="F15" s="104">
        <f>Table2[[#This Row],[Basic ]]/Table2[[#This Row],[Day''s]]</f>
        <v>566.66666666666663</v>
      </c>
      <c r="G15" s="104">
        <f>Table2[[#This Row],[Per day AMT]]*Table2[[#This Row],[ Extra  Day count ]]</f>
        <v>1133.3333333333333</v>
      </c>
      <c r="H15" s="2">
        <v>2</v>
      </c>
      <c r="I15" s="2">
        <v>267</v>
      </c>
      <c r="J15" s="2">
        <f>Table2[[#This Row],[Per Liter AMT]]*Table2[[#This Row],[Fuel liter''s]]</f>
        <v>534</v>
      </c>
      <c r="K15" s="2">
        <f>Table2[[#This Row],[T -F- Amount ]]*Table2[[#This Row],[ Extra  Day count ]]</f>
        <v>1068</v>
      </c>
      <c r="L15" s="104">
        <f>Table2[[#This Row],[A F D AMT]]+Table2[[#This Row],[Total Amount Day''s]]</f>
        <v>2201.333333333333</v>
      </c>
    </row>
    <row r="16" spans="1:12">
      <c r="A16" s="1" t="s">
        <v>2111</v>
      </c>
      <c r="B16" s="2">
        <v>3</v>
      </c>
      <c r="C16" s="1">
        <v>2</v>
      </c>
      <c r="D16" s="2">
        <v>17000</v>
      </c>
      <c r="E16" s="2">
        <v>30</v>
      </c>
      <c r="F16" s="104">
        <f>Table2[[#This Row],[Basic ]]/Table2[[#This Row],[Day''s]]</f>
        <v>566.66666666666663</v>
      </c>
      <c r="G16" s="104">
        <f>Table2[[#This Row],[Per day AMT]]*Table2[[#This Row],[ Extra  Day count ]]</f>
        <v>1133.3333333333333</v>
      </c>
      <c r="H16" s="2">
        <v>3</v>
      </c>
      <c r="I16" s="2">
        <v>267</v>
      </c>
      <c r="J16" s="2">
        <f>Table2[[#This Row],[Per Liter AMT]]*Table2[[#This Row],[Fuel liter''s]]</f>
        <v>801</v>
      </c>
      <c r="K16" s="2">
        <f>Table2[[#This Row],[T -F- Amount ]]*Table2[[#This Row],[ Extra  Day count ]]</f>
        <v>1602</v>
      </c>
      <c r="L16" s="104">
        <f>Table2[[#This Row],[A F D AMT]]+Table2[[#This Row],[Total Amount Day''s]]</f>
        <v>2735.333333333333</v>
      </c>
    </row>
    <row r="17" spans="1:12">
      <c r="A17" s="1" t="s">
        <v>4493</v>
      </c>
      <c r="B17" s="2">
        <v>2</v>
      </c>
      <c r="C17" s="1">
        <v>0</v>
      </c>
      <c r="D17" s="2">
        <v>17000</v>
      </c>
      <c r="E17" s="2">
        <v>30</v>
      </c>
      <c r="F17" s="104">
        <f>Table2[[#This Row],[Basic ]]/Table2[[#This Row],[Day''s]]</f>
        <v>566.66666666666663</v>
      </c>
      <c r="G17" s="104">
        <f>Table2[[#This Row],[Per day AMT]]*Table2[[#This Row],[ Extra  Day count ]]</f>
        <v>0</v>
      </c>
      <c r="H17" s="2">
        <v>0</v>
      </c>
      <c r="I17" s="2">
        <v>267</v>
      </c>
      <c r="J17" s="2">
        <f>Table2[[#This Row],[Per Liter AMT]]*Table2[[#This Row],[Fuel liter''s]]</f>
        <v>0</v>
      </c>
      <c r="K17" s="2">
        <f>Table2[[#This Row],[T -F- Amount ]]*Table2[[#This Row],[ Extra  Day count ]]</f>
        <v>0</v>
      </c>
      <c r="L17" s="104">
        <f>Table2[[#This Row],[A F D AMT]]+Table2[[#This Row],[Total Amount Day''s]]</f>
        <v>0</v>
      </c>
    </row>
    <row r="18" spans="1:12">
      <c r="A18" s="1" t="s">
        <v>4501</v>
      </c>
      <c r="B18" s="2">
        <v>1</v>
      </c>
      <c r="C18" s="1">
        <v>0</v>
      </c>
      <c r="D18" s="2">
        <v>17000</v>
      </c>
      <c r="E18" s="2">
        <v>30</v>
      </c>
      <c r="F18" s="104">
        <f>Table2[[#This Row],[Basic ]]/Table2[[#This Row],[Day''s]]</f>
        <v>566.66666666666663</v>
      </c>
      <c r="G18" s="104">
        <f>Table2[[#This Row],[Per day AMT]]*Table2[[#This Row],[ Extra  Day count ]]</f>
        <v>0</v>
      </c>
      <c r="H18" s="2">
        <v>3</v>
      </c>
      <c r="I18" s="2">
        <v>267</v>
      </c>
      <c r="J18" s="2">
        <f>Table2[[#This Row],[Per Liter AMT]]*Table2[[#This Row],[Fuel liter''s]]</f>
        <v>801</v>
      </c>
      <c r="K18" s="2">
        <f>Table2[[#This Row],[T -F- Amount ]]*Table2[[#This Row],[ Extra  Day count ]]</f>
        <v>0</v>
      </c>
      <c r="L18" s="104">
        <f>Table2[[#This Row],[A F D AMT]]+Table2[[#This Row],[Total Amount Day''s]]</f>
        <v>0</v>
      </c>
    </row>
    <row r="19" spans="1:12">
      <c r="A19" s="1" t="s">
        <v>4463</v>
      </c>
      <c r="B19" s="2">
        <v>5</v>
      </c>
      <c r="C19" s="1">
        <v>0</v>
      </c>
      <c r="D19" s="2">
        <v>17000</v>
      </c>
      <c r="E19" s="2">
        <v>30</v>
      </c>
      <c r="F19" s="104">
        <f>Table2[[#This Row],[Basic ]]/Table2[[#This Row],[Day''s]]</f>
        <v>566.66666666666663</v>
      </c>
      <c r="G19" s="104">
        <f>Table2[[#This Row],[Per day AMT]]*Table2[[#This Row],[ Extra  Day count ]]</f>
        <v>0</v>
      </c>
      <c r="H19" s="2"/>
      <c r="I19" s="2">
        <v>267</v>
      </c>
      <c r="J19" s="2">
        <f>Table2[[#This Row],[Per Liter AMT]]*Table2[[#This Row],[Fuel liter''s]]</f>
        <v>0</v>
      </c>
      <c r="K19" s="2">
        <f>Table2[[#This Row],[T -F- Amount ]]*Table2[[#This Row],[ Extra  Day count ]]</f>
        <v>0</v>
      </c>
      <c r="L19" s="104">
        <f>Table2[[#This Row],[A F D AMT]]+Table2[[#This Row],[Total Amount Day''s]]</f>
        <v>0</v>
      </c>
    </row>
    <row r="20" spans="1:12">
      <c r="A20" s="1" t="s">
        <v>4462</v>
      </c>
      <c r="B20" s="2">
        <v>5</v>
      </c>
      <c r="C20" s="1">
        <v>0</v>
      </c>
      <c r="D20" s="2">
        <v>17000</v>
      </c>
      <c r="E20" s="2">
        <v>30</v>
      </c>
      <c r="F20" s="104">
        <f>Table2[[#This Row],[Basic ]]/Table2[[#This Row],[Day''s]]</f>
        <v>566.66666666666663</v>
      </c>
      <c r="G20" s="104">
        <f>Table2[[#This Row],[Per day AMT]]*Table2[[#This Row],[ Extra  Day count ]]</f>
        <v>0</v>
      </c>
      <c r="H20" s="2"/>
      <c r="I20" s="2">
        <v>267</v>
      </c>
      <c r="J20" s="2">
        <f>Table2[[#This Row],[Per Liter AMT]]*Table2[[#This Row],[Fuel liter''s]]</f>
        <v>0</v>
      </c>
      <c r="K20" s="2">
        <f>Table2[[#This Row],[T -F- Amount ]]*Table2[[#This Row],[ Extra  Day count ]]</f>
        <v>0</v>
      </c>
      <c r="L20" s="104">
        <f>Table2[[#This Row],[A F D AMT]]+Table2[[#This Row],[Total Amount Day''s]]</f>
        <v>0</v>
      </c>
    </row>
    <row r="21" spans="1:12">
      <c r="A21" s="1" t="s">
        <v>1270</v>
      </c>
      <c r="B21" s="2">
        <v>5</v>
      </c>
      <c r="C21" s="1">
        <v>0</v>
      </c>
      <c r="D21" s="2">
        <v>17000</v>
      </c>
      <c r="E21" s="2">
        <v>30</v>
      </c>
      <c r="F21" s="104">
        <f>Table2[[#This Row],[Basic ]]/Table2[[#This Row],[Day''s]]</f>
        <v>566.66666666666663</v>
      </c>
      <c r="G21" s="104">
        <f>Table2[[#This Row],[Per day AMT]]*Table2[[#This Row],[ Extra  Day count ]]</f>
        <v>0</v>
      </c>
      <c r="H21" s="2"/>
      <c r="I21" s="2">
        <v>267</v>
      </c>
      <c r="J21" s="2">
        <f>Table2[[#This Row],[Per Liter AMT]]*Table2[[#This Row],[Fuel liter''s]]</f>
        <v>0</v>
      </c>
      <c r="K21" s="2">
        <f>Table2[[#This Row],[T -F- Amount ]]*Table2[[#This Row],[ Extra  Day count ]]</f>
        <v>0</v>
      </c>
      <c r="L21" s="104">
        <f>Table2[[#This Row],[A F D AMT]]+Table2[[#This Row],[Total Amount Day''s]]</f>
        <v>0</v>
      </c>
    </row>
    <row r="22" spans="1:12">
      <c r="A22" s="1" t="s">
        <v>4521</v>
      </c>
      <c r="B22" s="2">
        <v>5</v>
      </c>
      <c r="C22" s="1">
        <v>0</v>
      </c>
      <c r="D22" s="2">
        <v>17000</v>
      </c>
      <c r="E22" s="2">
        <v>30</v>
      </c>
      <c r="F22" s="104">
        <f>Table2[[#This Row],[Basic ]]/Table2[[#This Row],[Day''s]]</f>
        <v>566.66666666666663</v>
      </c>
      <c r="G22" s="104">
        <f>Table2[[#This Row],[Per day AMT]]*Table2[[#This Row],[ Extra  Day count ]]</f>
        <v>0</v>
      </c>
      <c r="H22" s="2"/>
      <c r="I22" s="2"/>
      <c r="J22" s="2">
        <f>Table2[[#This Row],[Per Liter AMT]]*Table2[[#This Row],[Fuel liter''s]]</f>
        <v>0</v>
      </c>
      <c r="K22" s="2">
        <f>Table2[[#This Row],[T -F- Amount ]]*Table2[[#This Row],[ Extra  Day count ]]</f>
        <v>0</v>
      </c>
      <c r="L22" s="104">
        <f>Table2[[#This Row],[A F D AMT]]+Table2[[#This Row],[Total Amount Day''s]]</f>
        <v>0</v>
      </c>
    </row>
    <row r="23" spans="1:12">
      <c r="A23" s="1" t="s">
        <v>4464</v>
      </c>
      <c r="B23" s="2">
        <v>4</v>
      </c>
      <c r="C23" s="1">
        <v>0</v>
      </c>
      <c r="D23" s="2">
        <v>17000</v>
      </c>
      <c r="E23" s="2">
        <v>30</v>
      </c>
      <c r="F23" s="104">
        <f>Table2[[#This Row],[Basic ]]/Table2[[#This Row],[Day''s]]</f>
        <v>566.66666666666663</v>
      </c>
      <c r="G23" s="104">
        <f>Table2[[#This Row],[Per day AMT]]*Table2[[#This Row],[ Extra  Day count ]]</f>
        <v>0</v>
      </c>
      <c r="H23" s="2"/>
      <c r="I23" s="2">
        <v>267</v>
      </c>
      <c r="J23" s="2">
        <f>Table2[[#This Row],[Per Liter AMT]]*Table2[[#This Row],[Fuel liter''s]]</f>
        <v>0</v>
      </c>
      <c r="K23" s="2">
        <f>Table2[[#This Row],[T -F- Amount ]]*Table2[[#This Row],[ Extra  Day count ]]</f>
        <v>0</v>
      </c>
      <c r="L23" s="104">
        <f>Table2[[#This Row],[A F D AMT]]+Table2[[#This Row],[Total Amount Day''s]]</f>
        <v>0</v>
      </c>
    </row>
    <row r="24" spans="1:12">
      <c r="A24" s="1" t="s">
        <v>4468</v>
      </c>
      <c r="B24" s="2">
        <v>4</v>
      </c>
      <c r="C24" s="1">
        <v>0</v>
      </c>
      <c r="D24" s="2">
        <v>17000</v>
      </c>
      <c r="E24" s="2">
        <v>30</v>
      </c>
      <c r="F24" s="104">
        <f>Table2[[#This Row],[Basic ]]/Table2[[#This Row],[Day''s]]</f>
        <v>566.66666666666663</v>
      </c>
      <c r="G24" s="104">
        <f>Table2[[#This Row],[Per day AMT]]*Table2[[#This Row],[ Extra  Day count ]]</f>
        <v>0</v>
      </c>
      <c r="H24" s="2"/>
      <c r="I24" s="2">
        <v>267</v>
      </c>
      <c r="J24" s="2">
        <f>Table2[[#This Row],[Per Liter AMT]]*Table2[[#This Row],[Fuel liter''s]]</f>
        <v>0</v>
      </c>
      <c r="K24" s="2">
        <f>Table2[[#This Row],[T -F- Amount ]]*Table2[[#This Row],[ Extra  Day count ]]</f>
        <v>0</v>
      </c>
      <c r="L24" s="104">
        <f>Table2[[#This Row],[A F D AMT]]+Table2[[#This Row],[Total Amount Day''s]]</f>
        <v>0</v>
      </c>
    </row>
    <row r="25" spans="1:12">
      <c r="A25" s="1" t="s">
        <v>4495</v>
      </c>
      <c r="B25" s="2">
        <v>2</v>
      </c>
      <c r="C25" s="1">
        <v>0</v>
      </c>
      <c r="D25" s="2">
        <v>17000</v>
      </c>
      <c r="E25" s="2">
        <v>30</v>
      </c>
      <c r="F25" s="104">
        <f>Table2[[#This Row],[Basic ]]/Table2[[#This Row],[Day''s]]</f>
        <v>566.66666666666663</v>
      </c>
      <c r="G25" s="104">
        <f>Table2[[#This Row],[Per day AMT]]*Table2[[#This Row],[ Extra  Day count ]]</f>
        <v>0</v>
      </c>
      <c r="H25" s="2">
        <v>0</v>
      </c>
      <c r="I25" s="2">
        <v>267</v>
      </c>
      <c r="J25" s="2">
        <f>Table2[[#This Row],[Per Liter AMT]]*Table2[[#This Row],[Fuel liter''s]]</f>
        <v>0</v>
      </c>
      <c r="K25" s="2">
        <f>Table2[[#This Row],[T -F- Amount ]]*Table2[[#This Row],[ Extra  Day count ]]</f>
        <v>0</v>
      </c>
      <c r="L25" s="104">
        <f>Table2[[#This Row],[A F D AMT]]+Table2[[#This Row],[Total Amount Day''s]]</f>
        <v>0</v>
      </c>
    </row>
    <row r="26" spans="1:12">
      <c r="A26" s="1" t="s">
        <v>4466</v>
      </c>
      <c r="B26" s="2">
        <v>2</v>
      </c>
      <c r="C26" s="1">
        <v>0</v>
      </c>
      <c r="D26" s="2">
        <v>17000</v>
      </c>
      <c r="E26" s="2">
        <v>30</v>
      </c>
      <c r="F26" s="104">
        <f>Table2[[#This Row],[Basic ]]/Table2[[#This Row],[Day''s]]</f>
        <v>566.66666666666663</v>
      </c>
      <c r="G26" s="104">
        <f>Table2[[#This Row],[Per day AMT]]*Table2[[#This Row],[ Extra  Day count ]]</f>
        <v>0</v>
      </c>
      <c r="H26" s="2"/>
      <c r="I26" s="2">
        <v>267</v>
      </c>
      <c r="J26" s="2">
        <f>Table2[[#This Row],[Per Liter AMT]]*Table2[[#This Row],[Fuel liter''s]]</f>
        <v>0</v>
      </c>
      <c r="K26" s="2">
        <f>Table2[[#This Row],[T -F- Amount ]]*Table2[[#This Row],[ Extra  Day count ]]</f>
        <v>0</v>
      </c>
      <c r="L26" s="104">
        <f>Table2[[#This Row],[A F D AMT]]+Table2[[#This Row],[Total Amount Day''s]]</f>
        <v>0</v>
      </c>
    </row>
    <row r="27" spans="1:12">
      <c r="A27" s="1" t="s">
        <v>4467</v>
      </c>
      <c r="B27" s="2">
        <v>2</v>
      </c>
      <c r="C27" s="1">
        <v>0</v>
      </c>
      <c r="D27" s="2">
        <v>17000</v>
      </c>
      <c r="E27" s="2">
        <v>30</v>
      </c>
      <c r="F27" s="104">
        <f>Table2[[#This Row],[Basic ]]/Table2[[#This Row],[Day''s]]</f>
        <v>566.66666666666663</v>
      </c>
      <c r="G27" s="104">
        <f>Table2[[#This Row],[Per day AMT]]*Table2[[#This Row],[ Extra  Day count ]]</f>
        <v>0</v>
      </c>
      <c r="H27" s="2"/>
      <c r="I27" s="2">
        <v>267</v>
      </c>
      <c r="J27" s="2">
        <f>Table2[[#This Row],[Per Liter AMT]]*Table2[[#This Row],[Fuel liter''s]]</f>
        <v>0</v>
      </c>
      <c r="K27" s="2">
        <f>Table2[[#This Row],[T -F- Amount ]]*Table2[[#This Row],[ Extra  Day count ]]</f>
        <v>0</v>
      </c>
      <c r="L27" s="104">
        <f>Table2[[#This Row],[A F D AMT]]+Table2[[#This Row],[Total Amount Day''s]]</f>
        <v>0</v>
      </c>
    </row>
    <row r="28" spans="1:12">
      <c r="A28" s="1" t="s">
        <v>2243</v>
      </c>
      <c r="B28" s="2">
        <v>1</v>
      </c>
      <c r="C28" s="1">
        <v>0</v>
      </c>
      <c r="D28" s="2">
        <v>17000</v>
      </c>
      <c r="E28" s="2">
        <v>30</v>
      </c>
      <c r="F28" s="104">
        <f>Table2[[#This Row],[Basic ]]/Table2[[#This Row],[Day''s]]</f>
        <v>566.66666666666663</v>
      </c>
      <c r="G28" s="104">
        <f>Table2[[#This Row],[Per day AMT]]*Table2[[#This Row],[ Extra  Day count ]]</f>
        <v>0</v>
      </c>
      <c r="H28" s="2">
        <v>0</v>
      </c>
      <c r="I28" s="2">
        <v>267</v>
      </c>
      <c r="J28" s="2">
        <f>Table2[[#This Row],[Per Liter AMT]]*Table2[[#This Row],[Fuel liter''s]]</f>
        <v>0</v>
      </c>
      <c r="K28" s="2">
        <f>Table2[[#This Row],[T -F- Amount ]]*Table2[[#This Row],[ Extra  Day count ]]</f>
        <v>0</v>
      </c>
      <c r="L28" s="104">
        <f>Table2[[#This Row],[A F D AMT]]+Table2[[#This Row],[Total Amount Day''s]]</f>
        <v>0</v>
      </c>
    </row>
    <row r="29" spans="1:12">
      <c r="A29" s="99"/>
      <c r="B29" s="97"/>
      <c r="C29" s="100">
        <f>SUBTOTAL(109,Table2[[ Extra  Day count ]])</f>
        <v>51</v>
      </c>
      <c r="G29" s="101">
        <f>SUBTOTAL(109,Table2[Total Amount Day''s])</f>
        <v>28899.999999999993</v>
      </c>
      <c r="L29" s="101">
        <f>SUBTOTAL(109,Table2[[Total Amount ]])</f>
        <v>56267.500000000007</v>
      </c>
    </row>
  </sheetData>
  <pageMargins left="0.7" right="0.7" top="0.75" bottom="0.75" header="0.3" footer="0.3"/>
  <pageSetup scale="68"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CB652-18CA-4187-9463-D76DA8C35F2B}">
  <dimension ref="A1:I33"/>
  <sheetViews>
    <sheetView zoomScale="76" zoomScaleNormal="76" workbookViewId="0">
      <selection activeCell="F31" sqref="F31"/>
    </sheetView>
  </sheetViews>
  <sheetFormatPr defaultRowHeight="15"/>
  <cols>
    <col min="1" max="1" width="14.5703125" bestFit="1" customWidth="1"/>
    <col min="2" max="2" width="28" bestFit="1" customWidth="1"/>
    <col min="3" max="3" width="17" bestFit="1" customWidth="1"/>
    <col min="4" max="4" width="14.85546875" bestFit="1" customWidth="1"/>
    <col min="5" max="5" width="14.28515625" bestFit="1" customWidth="1"/>
    <col min="6" max="6" width="13.42578125" bestFit="1" customWidth="1"/>
    <col min="7" max="7" width="14.28515625" bestFit="1" customWidth="1"/>
    <col min="8" max="8" width="19.42578125" bestFit="1" customWidth="1"/>
    <col min="9" max="9" width="8.140625" bestFit="1" customWidth="1"/>
  </cols>
  <sheetData>
    <row r="1" spans="1:9">
      <c r="A1" t="s">
        <v>17</v>
      </c>
      <c r="B1" t="s">
        <v>29</v>
      </c>
      <c r="C1" t="s">
        <v>14</v>
      </c>
    </row>
    <row r="2" spans="1:9">
      <c r="A2" t="s">
        <v>144</v>
      </c>
      <c r="B2" t="s">
        <v>718</v>
      </c>
      <c r="C2">
        <v>4999</v>
      </c>
      <c r="D2" t="str">
        <f t="shared" ref="D2:D7" si="0">""&amp;A2&amp;","</f>
        <v>KI7506074031,</v>
      </c>
    </row>
    <row r="3" spans="1:9">
      <c r="A3" t="s">
        <v>145</v>
      </c>
      <c r="B3" t="s">
        <v>718</v>
      </c>
      <c r="C3">
        <v>2499</v>
      </c>
      <c r="D3" t="str">
        <f t="shared" si="0"/>
        <v>MN7502906748,</v>
      </c>
    </row>
    <row r="4" spans="1:9">
      <c r="A4" t="s">
        <v>147</v>
      </c>
      <c r="B4" t="s">
        <v>718</v>
      </c>
      <c r="C4">
        <v>4200</v>
      </c>
      <c r="D4" t="str">
        <f t="shared" si="0"/>
        <v>RW7507233003,</v>
      </c>
    </row>
    <row r="5" spans="1:9">
      <c r="A5" t="s">
        <v>146</v>
      </c>
      <c r="B5" t="s">
        <v>718</v>
      </c>
      <c r="C5">
        <v>1800</v>
      </c>
      <c r="D5" t="str">
        <f t="shared" si="0"/>
        <v>FS7507713292,</v>
      </c>
      <c r="F5" s="1" t="s">
        <v>1267</v>
      </c>
      <c r="G5" s="1" t="s">
        <v>17</v>
      </c>
      <c r="H5" s="1" t="s">
        <v>29</v>
      </c>
      <c r="I5" s="1" t="s">
        <v>14</v>
      </c>
    </row>
    <row r="6" spans="1:9">
      <c r="A6" t="s">
        <v>149</v>
      </c>
      <c r="B6" t="s">
        <v>718</v>
      </c>
      <c r="C6">
        <v>1248</v>
      </c>
      <c r="D6" t="str">
        <f t="shared" si="0"/>
        <v>QD7506676702,</v>
      </c>
      <c r="F6" s="1"/>
      <c r="G6" s="1" t="s">
        <v>144</v>
      </c>
      <c r="H6" s="1" t="s">
        <v>718</v>
      </c>
      <c r="I6" s="1">
        <v>4999</v>
      </c>
    </row>
    <row r="7" spans="1:9">
      <c r="A7" t="s">
        <v>148</v>
      </c>
      <c r="B7" t="s">
        <v>718</v>
      </c>
      <c r="C7">
        <v>1090</v>
      </c>
      <c r="D7" t="str">
        <f t="shared" si="0"/>
        <v>SA7507874010,</v>
      </c>
      <c r="F7" s="1"/>
      <c r="G7" s="1" t="s">
        <v>145</v>
      </c>
      <c r="H7" s="1" t="s">
        <v>718</v>
      </c>
      <c r="I7" s="1">
        <v>2499</v>
      </c>
    </row>
    <row r="8" spans="1:9">
      <c r="A8" t="s">
        <v>39</v>
      </c>
      <c r="B8" t="s">
        <v>46</v>
      </c>
      <c r="C8" t="s">
        <v>53</v>
      </c>
      <c r="F8" s="1"/>
      <c r="G8" s="1" t="s">
        <v>147</v>
      </c>
      <c r="H8" s="1" t="s">
        <v>718</v>
      </c>
      <c r="I8" s="1">
        <v>4200</v>
      </c>
    </row>
    <row r="9" spans="1:9">
      <c r="A9" t="s">
        <v>40</v>
      </c>
      <c r="B9" t="s">
        <v>46</v>
      </c>
      <c r="C9" t="s">
        <v>53</v>
      </c>
      <c r="F9" s="1"/>
      <c r="G9" s="1" t="s">
        <v>146</v>
      </c>
      <c r="H9" s="1" t="s">
        <v>718</v>
      </c>
      <c r="I9" s="1">
        <v>1800</v>
      </c>
    </row>
    <row r="10" spans="1:9">
      <c r="A10" t="s">
        <v>42</v>
      </c>
      <c r="B10" t="s">
        <v>44</v>
      </c>
      <c r="C10" t="s">
        <v>53</v>
      </c>
      <c r="F10" s="1"/>
      <c r="G10" s="1" t="s">
        <v>149</v>
      </c>
      <c r="H10" s="1" t="s">
        <v>718</v>
      </c>
      <c r="I10" s="1">
        <v>1248</v>
      </c>
    </row>
    <row r="11" spans="1:9">
      <c r="A11" t="s">
        <v>43</v>
      </c>
      <c r="B11" t="s">
        <v>44</v>
      </c>
      <c r="C11" t="s">
        <v>53</v>
      </c>
      <c r="F11" s="1"/>
      <c r="G11" s="1" t="s">
        <v>148</v>
      </c>
      <c r="H11" s="1" t="s">
        <v>718</v>
      </c>
      <c r="I11" s="1">
        <v>1090</v>
      </c>
    </row>
    <row r="12" spans="1:9">
      <c r="A12" t="s">
        <v>49</v>
      </c>
      <c r="B12" t="s">
        <v>50</v>
      </c>
      <c r="C12" t="s">
        <v>53</v>
      </c>
      <c r="F12" s="1" t="s">
        <v>1268</v>
      </c>
      <c r="G12" s="1" t="s">
        <v>1269</v>
      </c>
      <c r="H12" s="1" t="s">
        <v>718</v>
      </c>
      <c r="I12" s="1">
        <v>1250</v>
      </c>
    </row>
    <row r="13" spans="1:9">
      <c r="A13" t="s">
        <v>45</v>
      </c>
      <c r="B13" t="s">
        <v>46</v>
      </c>
      <c r="C13" t="s">
        <v>48</v>
      </c>
      <c r="I13" s="62">
        <f>SUM(I6:I12)</f>
        <v>17086</v>
      </c>
    </row>
    <row r="14" spans="1:9">
      <c r="A14" t="s">
        <v>143</v>
      </c>
      <c r="B14" s="24" t="s">
        <v>59</v>
      </c>
    </row>
    <row r="15" spans="1:9">
      <c r="A15" t="s">
        <v>158</v>
      </c>
      <c r="B15" s="24" t="s">
        <v>59</v>
      </c>
    </row>
    <row r="16" spans="1:9">
      <c r="A16" t="s">
        <v>72</v>
      </c>
      <c r="B16" s="24" t="s">
        <v>59</v>
      </c>
    </row>
    <row r="17" spans="1:5">
      <c r="A17" t="s">
        <v>159</v>
      </c>
      <c r="B17" s="24" t="s">
        <v>59</v>
      </c>
    </row>
    <row r="18" spans="1:5">
      <c r="A18" t="s">
        <v>58</v>
      </c>
      <c r="B18" s="24" t="s">
        <v>59</v>
      </c>
    </row>
    <row r="19" spans="1:5">
      <c r="A19" t="s">
        <v>120</v>
      </c>
      <c r="B19" s="24" t="s">
        <v>61</v>
      </c>
    </row>
    <row r="20" spans="1:5">
      <c r="A20" t="s">
        <v>60</v>
      </c>
      <c r="B20" s="24" t="s">
        <v>61</v>
      </c>
    </row>
    <row r="21" spans="1:5">
      <c r="A21" t="s">
        <v>52</v>
      </c>
      <c r="B21" s="24" t="s">
        <v>61</v>
      </c>
    </row>
    <row r="22" spans="1:5">
      <c r="A22" t="s">
        <v>122</v>
      </c>
      <c r="B22" s="24" t="s">
        <v>61</v>
      </c>
    </row>
    <row r="23" spans="1:5">
      <c r="A23" t="s">
        <v>119</v>
      </c>
      <c r="B23" s="24" t="s">
        <v>61</v>
      </c>
    </row>
    <row r="24" spans="1:5">
      <c r="A24" t="s">
        <v>121</v>
      </c>
      <c r="B24" s="24" t="s">
        <v>61</v>
      </c>
    </row>
    <row r="25" spans="1:5">
      <c r="A25" t="s">
        <v>62</v>
      </c>
      <c r="B25" s="24" t="s">
        <v>63</v>
      </c>
    </row>
    <row r="26" spans="1:5">
      <c r="A26" t="s">
        <v>51</v>
      </c>
      <c r="B26" s="24" t="s">
        <v>64</v>
      </c>
      <c r="E26" t="s">
        <v>144</v>
      </c>
    </row>
    <row r="27" spans="1:5">
      <c r="A27" t="s">
        <v>65</v>
      </c>
      <c r="B27" s="24" t="s">
        <v>64</v>
      </c>
      <c r="E27" t="s">
        <v>145</v>
      </c>
    </row>
    <row r="28" spans="1:5">
      <c r="A28" t="s">
        <v>71</v>
      </c>
      <c r="B28" s="24" t="s">
        <v>67</v>
      </c>
      <c r="E28" t="s">
        <v>147</v>
      </c>
    </row>
    <row r="29" spans="1:5">
      <c r="A29" t="s">
        <v>66</v>
      </c>
      <c r="B29" s="24" t="s">
        <v>67</v>
      </c>
      <c r="E29" t="s">
        <v>149</v>
      </c>
    </row>
    <row r="30" spans="1:5">
      <c r="A30" t="s">
        <v>70</v>
      </c>
      <c r="B30" s="24" t="s">
        <v>67</v>
      </c>
      <c r="E30" t="s">
        <v>148</v>
      </c>
    </row>
    <row r="31" spans="1:5">
      <c r="A31" t="s">
        <v>68</v>
      </c>
      <c r="B31" s="24" t="s">
        <v>67</v>
      </c>
      <c r="E31" t="s">
        <v>146</v>
      </c>
    </row>
    <row r="32" spans="1:5">
      <c r="A32" t="s">
        <v>69</v>
      </c>
      <c r="B32" s="24" t="s">
        <v>67</v>
      </c>
    </row>
    <row r="33" spans="2:2">
      <c r="B33" s="24"/>
    </row>
  </sheetData>
  <autoFilter ref="A1:C33" xr:uid="{8E0CB652-18CA-4187-9463-D76DA8C35F2B}">
    <sortState xmlns:xlrd2="http://schemas.microsoft.com/office/spreadsheetml/2017/richdata2" ref="A2:C33">
      <sortCondition ref="C1:C33"/>
    </sortState>
  </autoFilter>
  <conditionalFormatting sqref="A1:A1048576 E1:F1048576">
    <cfRule type="duplicateValues" dxfId="778" priority="2"/>
  </conditionalFormatting>
  <conditionalFormatting sqref="A8:A21 A24:A33">
    <cfRule type="duplicateValues" dxfId="777" priority="100"/>
  </conditionalFormatting>
  <conditionalFormatting sqref="E8:F8">
    <cfRule type="duplicateValues" dxfId="776" priority="4"/>
  </conditionalFormatting>
  <conditionalFormatting sqref="G5:G11">
    <cfRule type="duplicateValues" dxfId="775"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0"/>
  <sheetViews>
    <sheetView showGridLines="0" topLeftCell="A2" zoomScaleNormal="100" workbookViewId="0">
      <selection activeCell="J6" sqref="H6:J9"/>
    </sheetView>
  </sheetViews>
  <sheetFormatPr defaultRowHeight="15"/>
  <cols>
    <col min="1" max="1" width="15.5703125" style="3" bestFit="1" customWidth="1"/>
    <col min="2" max="2" width="13.85546875" bestFit="1" customWidth="1"/>
    <col min="3" max="3" width="19.28515625" style="3" bestFit="1" customWidth="1"/>
    <col min="4" max="4" width="8.5703125" style="3" bestFit="1" customWidth="1"/>
    <col min="5" max="5" width="16.85546875" style="3" bestFit="1" customWidth="1"/>
    <col min="6" max="6" width="12.42578125" style="3" bestFit="1" customWidth="1"/>
    <col min="7" max="7" width="10.42578125" style="3" bestFit="1" customWidth="1"/>
    <col min="8" max="8" width="13.85546875" bestFit="1" customWidth="1"/>
    <col min="9" max="9" width="8.140625" bestFit="1" customWidth="1"/>
    <col min="10" max="10" width="7.7109375" bestFit="1" customWidth="1"/>
    <col min="11" max="11" width="9" bestFit="1" customWidth="1"/>
    <col min="12" max="12" width="13.85546875" bestFit="1" customWidth="1"/>
    <col min="13" max="13" width="6.7109375" bestFit="1" customWidth="1"/>
    <col min="14" max="14" width="8.28515625" bestFit="1" customWidth="1"/>
    <col min="15" max="15" width="14.42578125" bestFit="1" customWidth="1"/>
    <col min="16" max="16" width="20.42578125" bestFit="1" customWidth="1"/>
    <col min="17" max="17" width="9" bestFit="1" customWidth="1"/>
    <col min="18" max="18" width="17.7109375" bestFit="1" customWidth="1"/>
  </cols>
  <sheetData>
    <row r="1" spans="1:20" ht="19.5">
      <c r="A1" s="176" t="s">
        <v>36</v>
      </c>
      <c r="B1" s="176"/>
      <c r="C1" s="176"/>
      <c r="D1" s="176"/>
      <c r="E1" s="176"/>
      <c r="F1" s="176"/>
      <c r="G1" s="176"/>
      <c r="H1" s="174" t="s">
        <v>27</v>
      </c>
      <c r="I1" s="174"/>
      <c r="J1" s="174"/>
      <c r="K1" s="174"/>
      <c r="L1" s="175">
        <f>SUM(I3:I1048576)</f>
        <v>60000</v>
      </c>
      <c r="M1" s="175"/>
    </row>
    <row r="2" spans="1:20" ht="15.75" thickBot="1">
      <c r="A2" s="4" t="s">
        <v>1</v>
      </c>
      <c r="B2" s="4" t="s">
        <v>2</v>
      </c>
      <c r="C2" s="4" t="s">
        <v>3</v>
      </c>
      <c r="D2" s="4" t="s">
        <v>29</v>
      </c>
      <c r="E2" s="130" t="s">
        <v>10</v>
      </c>
      <c r="F2" s="130" t="s">
        <v>4</v>
      </c>
      <c r="G2" s="20" t="s">
        <v>20</v>
      </c>
      <c r="H2" s="17" t="s">
        <v>17</v>
      </c>
      <c r="I2" s="17" t="s">
        <v>14</v>
      </c>
      <c r="J2" s="17" t="s">
        <v>28</v>
      </c>
      <c r="K2" s="17" t="s">
        <v>29</v>
      </c>
      <c r="L2" s="175"/>
      <c r="M2" s="175"/>
      <c r="N2" s="4" t="s">
        <v>0</v>
      </c>
      <c r="O2" s="4" t="s">
        <v>16</v>
      </c>
      <c r="P2" s="4" t="s">
        <v>34</v>
      </c>
      <c r="Q2" s="4" t="s">
        <v>15</v>
      </c>
      <c r="R2" s="4" t="s">
        <v>5</v>
      </c>
    </row>
    <row r="3" spans="1:20">
      <c r="A3" s="15">
        <v>11150</v>
      </c>
      <c r="B3" s="14" t="s">
        <v>6</v>
      </c>
      <c r="C3" s="15" t="s">
        <v>32</v>
      </c>
      <c r="D3" s="6" t="s">
        <v>4568</v>
      </c>
      <c r="E3" s="131">
        <v>150000</v>
      </c>
      <c r="F3" s="132">
        <v>20000</v>
      </c>
      <c r="G3" s="133" t="s">
        <v>35</v>
      </c>
      <c r="H3" s="127"/>
      <c r="I3" s="21"/>
      <c r="J3" s="19"/>
      <c r="K3" s="19"/>
      <c r="L3" s="19"/>
      <c r="M3" s="19"/>
      <c r="N3" s="18">
        <f>SUM(A3:A1048576)</f>
        <v>648610</v>
      </c>
      <c r="O3" s="5">
        <f>SUM(D3:D31)</f>
        <v>0</v>
      </c>
      <c r="P3" s="5">
        <f>SUM(E3:E31)</f>
        <v>150000</v>
      </c>
      <c r="Q3" s="5">
        <f>SUM(F3:F1048576)</f>
        <v>150000</v>
      </c>
      <c r="R3" s="7">
        <f>SUM(P3-Q3)</f>
        <v>0</v>
      </c>
      <c r="S3">
        <f>R3/T3</f>
        <v>0</v>
      </c>
      <c r="T3">
        <v>2</v>
      </c>
    </row>
    <row r="4" spans="1:20">
      <c r="A4" s="15">
        <v>10450</v>
      </c>
      <c r="B4" s="14" t="s">
        <v>13</v>
      </c>
      <c r="C4" s="15" t="s">
        <v>32</v>
      </c>
      <c r="D4" s="6" t="s">
        <v>4568</v>
      </c>
      <c r="E4" s="134"/>
      <c r="F4" s="15">
        <v>32000</v>
      </c>
      <c r="G4" s="135">
        <v>45845</v>
      </c>
      <c r="H4" s="127"/>
      <c r="I4" s="21"/>
      <c r="J4" s="19"/>
      <c r="K4" s="19"/>
      <c r="L4" s="19"/>
      <c r="M4" s="19"/>
    </row>
    <row r="5" spans="1:20">
      <c r="A5" s="15">
        <v>11148</v>
      </c>
      <c r="B5" s="14" t="s">
        <v>8</v>
      </c>
      <c r="C5" s="15" t="s">
        <v>32</v>
      </c>
      <c r="D5" s="6" t="s">
        <v>4568</v>
      </c>
      <c r="E5" s="134"/>
      <c r="F5" s="15">
        <v>32050</v>
      </c>
      <c r="G5" s="135">
        <v>45902</v>
      </c>
      <c r="H5" s="127"/>
      <c r="I5" s="21"/>
      <c r="J5" s="19"/>
      <c r="K5" s="19"/>
      <c r="L5" s="19"/>
      <c r="M5" s="19"/>
    </row>
    <row r="6" spans="1:20">
      <c r="A6" s="15">
        <v>10648</v>
      </c>
      <c r="B6" s="14" t="s">
        <v>9</v>
      </c>
      <c r="C6" s="15" t="s">
        <v>32</v>
      </c>
      <c r="D6" s="6" t="s">
        <v>4568</v>
      </c>
      <c r="E6" s="134"/>
      <c r="F6" s="15">
        <v>32550</v>
      </c>
      <c r="G6" s="135" t="s">
        <v>4538</v>
      </c>
      <c r="H6" s="127"/>
      <c r="I6" s="21"/>
      <c r="J6" s="19"/>
      <c r="K6" s="19"/>
      <c r="L6" s="19"/>
      <c r="M6" s="19"/>
    </row>
    <row r="7" spans="1:20">
      <c r="A7" s="15">
        <v>10250</v>
      </c>
      <c r="B7" s="14" t="s">
        <v>11</v>
      </c>
      <c r="C7" s="15" t="s">
        <v>32</v>
      </c>
      <c r="D7" s="6" t="s">
        <v>4568</v>
      </c>
      <c r="E7" s="134" t="s">
        <v>4542</v>
      </c>
      <c r="F7" s="15">
        <v>24150</v>
      </c>
      <c r="G7" s="135">
        <v>46025</v>
      </c>
      <c r="H7" s="19" t="s">
        <v>4566</v>
      </c>
      <c r="I7" s="21">
        <v>10000</v>
      </c>
      <c r="J7" s="19" t="s">
        <v>4572</v>
      </c>
      <c r="K7" s="19"/>
      <c r="L7" s="19"/>
      <c r="M7" s="19"/>
    </row>
    <row r="8" spans="1:20" ht="15.75" thickBot="1">
      <c r="A8" s="15">
        <v>10250</v>
      </c>
      <c r="B8" s="14" t="s">
        <v>12</v>
      </c>
      <c r="C8" s="15" t="s">
        <v>32</v>
      </c>
      <c r="D8" s="6" t="s">
        <v>4568</v>
      </c>
      <c r="E8" s="136"/>
      <c r="F8" s="137">
        <v>9250</v>
      </c>
      <c r="G8" s="138">
        <v>46071</v>
      </c>
      <c r="H8" s="127"/>
      <c r="I8" s="21"/>
      <c r="J8" s="19"/>
      <c r="K8" s="19"/>
      <c r="L8" s="19"/>
      <c r="M8" s="19"/>
    </row>
    <row r="9" spans="1:20" ht="15.75" thickBot="1">
      <c r="A9" s="15">
        <v>10648</v>
      </c>
      <c r="B9" s="14" t="s">
        <v>7</v>
      </c>
      <c r="C9" s="15" t="s">
        <v>32</v>
      </c>
      <c r="D9" s="6" t="s">
        <v>4568</v>
      </c>
      <c r="E9" s="177" t="s">
        <v>4568</v>
      </c>
      <c r="F9" s="178"/>
      <c r="G9" s="179"/>
      <c r="H9" s="127" t="s">
        <v>4577</v>
      </c>
      <c r="I9" s="21">
        <v>10000</v>
      </c>
      <c r="J9" s="19" t="s">
        <v>4572</v>
      </c>
      <c r="K9" s="19"/>
      <c r="L9" s="19"/>
      <c r="M9" s="19"/>
    </row>
    <row r="10" spans="1:20">
      <c r="A10" s="15">
        <v>10448</v>
      </c>
      <c r="B10" s="14" t="s">
        <v>30</v>
      </c>
      <c r="C10" s="15" t="s">
        <v>32</v>
      </c>
      <c r="D10" s="6" t="s">
        <v>4568</v>
      </c>
      <c r="E10" s="128"/>
      <c r="F10" s="128"/>
      <c r="G10" s="129"/>
      <c r="H10" s="19"/>
      <c r="I10" s="21"/>
      <c r="J10" s="19"/>
      <c r="K10" s="19"/>
      <c r="L10" s="19"/>
      <c r="M10" s="19"/>
    </row>
    <row r="11" spans="1:20">
      <c r="A11" s="15">
        <v>10648</v>
      </c>
      <c r="B11" s="14" t="s">
        <v>31</v>
      </c>
      <c r="C11" s="15" t="s">
        <v>32</v>
      </c>
      <c r="D11" s="6" t="s">
        <v>4568</v>
      </c>
      <c r="E11" s="6"/>
      <c r="F11" s="6"/>
      <c r="G11" s="21"/>
      <c r="H11" s="19"/>
      <c r="I11" s="21"/>
      <c r="J11" s="19"/>
      <c r="K11" s="19"/>
      <c r="L11" s="19"/>
      <c r="M11" s="19"/>
    </row>
    <row r="12" spans="1:20">
      <c r="A12" s="15">
        <v>11150</v>
      </c>
      <c r="B12" s="14" t="s">
        <v>54</v>
      </c>
      <c r="C12" s="15" t="s">
        <v>32</v>
      </c>
      <c r="D12" s="6" t="s">
        <v>4568</v>
      </c>
      <c r="E12" s="6"/>
      <c r="F12" s="6"/>
      <c r="G12" s="21"/>
      <c r="H12" s="19"/>
      <c r="I12" s="21"/>
      <c r="J12" s="19"/>
      <c r="K12" s="19"/>
      <c r="L12" s="19"/>
      <c r="M12" s="19"/>
      <c r="O12">
        <v>32746</v>
      </c>
    </row>
    <row r="13" spans="1:20">
      <c r="A13" s="15">
        <v>10970</v>
      </c>
      <c r="B13" s="14" t="s">
        <v>40</v>
      </c>
      <c r="C13" s="15" t="s">
        <v>32</v>
      </c>
      <c r="D13" s="6" t="s">
        <v>4568</v>
      </c>
      <c r="E13" s="6"/>
      <c r="F13" s="6"/>
      <c r="G13" s="21"/>
      <c r="H13" s="19" t="s">
        <v>4833</v>
      </c>
      <c r="I13" s="21">
        <v>10000</v>
      </c>
      <c r="J13" s="19" t="s">
        <v>4572</v>
      </c>
      <c r="K13" s="19"/>
      <c r="L13" s="19"/>
      <c r="M13" s="19"/>
      <c r="O13">
        <v>-38726</v>
      </c>
    </row>
    <row r="14" spans="1:20">
      <c r="A14" s="15">
        <v>10430</v>
      </c>
      <c r="B14" s="14" t="s">
        <v>41</v>
      </c>
      <c r="C14" s="15" t="s">
        <v>32</v>
      </c>
      <c r="D14" s="6" t="s">
        <v>4568</v>
      </c>
      <c r="E14" s="6"/>
      <c r="F14" s="6"/>
      <c r="G14" s="21"/>
      <c r="H14" s="19" t="s">
        <v>4840</v>
      </c>
      <c r="I14" s="21">
        <v>10000</v>
      </c>
      <c r="J14" s="19" t="s">
        <v>4572</v>
      </c>
      <c r="K14" s="19"/>
      <c r="L14" s="19"/>
      <c r="M14" s="19"/>
      <c r="O14">
        <f>SUM(O12:O13)</f>
        <v>-5980</v>
      </c>
    </row>
    <row r="15" spans="1:20">
      <c r="A15" s="15">
        <v>10620</v>
      </c>
      <c r="B15" s="14" t="s">
        <v>38</v>
      </c>
      <c r="C15" s="15" t="s">
        <v>32</v>
      </c>
      <c r="D15" s="6" t="s">
        <v>4568</v>
      </c>
      <c r="E15" s="6"/>
      <c r="F15" s="6"/>
      <c r="G15" s="21"/>
      <c r="H15" s="19" t="s">
        <v>4834</v>
      </c>
      <c r="I15" s="21">
        <v>10000</v>
      </c>
      <c r="J15" s="19" t="s">
        <v>4839</v>
      </c>
      <c r="K15" s="19"/>
      <c r="L15" s="19"/>
      <c r="M15" s="19"/>
      <c r="O15" t="s">
        <v>33</v>
      </c>
      <c r="P15">
        <v>150000</v>
      </c>
    </row>
    <row r="16" spans="1:20">
      <c r="A16" s="15">
        <v>10450</v>
      </c>
      <c r="B16" s="15" t="s">
        <v>39</v>
      </c>
      <c r="C16" s="15" t="s">
        <v>32</v>
      </c>
      <c r="D16" s="6" t="s">
        <v>4568</v>
      </c>
      <c r="E16" s="6"/>
      <c r="F16" s="6"/>
      <c r="G16" s="21"/>
      <c r="H16" s="19" t="s">
        <v>4835</v>
      </c>
      <c r="I16" s="21">
        <v>10000</v>
      </c>
      <c r="J16" s="19" t="s">
        <v>4839</v>
      </c>
      <c r="K16" s="19"/>
      <c r="L16" s="19"/>
      <c r="M16" s="19"/>
    </row>
    <row r="17" spans="1:13">
      <c r="A17" s="15">
        <v>10650</v>
      </c>
      <c r="B17" s="15" t="s">
        <v>52</v>
      </c>
      <c r="C17" s="15" t="s">
        <v>32</v>
      </c>
      <c r="D17" s="6" t="s">
        <v>4568</v>
      </c>
      <c r="E17" s="6"/>
      <c r="F17" s="6"/>
      <c r="G17" s="21"/>
      <c r="H17" s="19"/>
      <c r="I17" s="21"/>
      <c r="J17" s="19"/>
      <c r="K17" s="19"/>
      <c r="L17" s="19"/>
      <c r="M17" s="19"/>
    </row>
    <row r="18" spans="1:13">
      <c r="A18" s="15">
        <v>10450</v>
      </c>
      <c r="B18" s="15" t="s">
        <v>47</v>
      </c>
      <c r="C18" s="15" t="s">
        <v>32</v>
      </c>
      <c r="D18" s="6" t="s">
        <v>4568</v>
      </c>
      <c r="E18" s="6"/>
      <c r="F18" s="6"/>
      <c r="G18" s="21"/>
      <c r="H18" s="19"/>
      <c r="I18" s="21"/>
      <c r="J18" s="19"/>
      <c r="K18" s="19"/>
      <c r="L18" s="19"/>
      <c r="M18" s="21"/>
    </row>
    <row r="19" spans="1:13">
      <c r="A19" s="49">
        <v>10450</v>
      </c>
      <c r="B19" s="14" t="s">
        <v>51</v>
      </c>
      <c r="C19" s="15" t="s">
        <v>32</v>
      </c>
      <c r="D19" s="6" t="s">
        <v>4568</v>
      </c>
      <c r="E19" s="6"/>
      <c r="F19" s="6"/>
      <c r="G19" s="21"/>
      <c r="H19" s="19"/>
      <c r="I19" s="21"/>
      <c r="J19" s="19"/>
      <c r="K19" s="19"/>
      <c r="L19" s="19"/>
      <c r="M19" s="21"/>
    </row>
    <row r="20" spans="1:13">
      <c r="A20" s="15">
        <v>10430</v>
      </c>
      <c r="B20" s="14" t="s">
        <v>121</v>
      </c>
      <c r="C20" s="15" t="s">
        <v>32</v>
      </c>
      <c r="D20" s="6" t="s">
        <v>4568</v>
      </c>
      <c r="E20" s="6"/>
      <c r="F20" s="6"/>
    </row>
    <row r="21" spans="1:13">
      <c r="A21" s="15">
        <v>10750</v>
      </c>
      <c r="B21" s="14" t="s">
        <v>122</v>
      </c>
      <c r="C21" s="15" t="s">
        <v>32</v>
      </c>
      <c r="D21" s="6" t="s">
        <v>4568</v>
      </c>
      <c r="E21" s="6"/>
      <c r="F21" s="6"/>
    </row>
    <row r="22" spans="1:13">
      <c r="A22" s="15">
        <v>10870</v>
      </c>
      <c r="B22" s="14" t="s">
        <v>118</v>
      </c>
      <c r="C22" s="15" t="s">
        <v>32</v>
      </c>
      <c r="D22" s="6" t="s">
        <v>4568</v>
      </c>
      <c r="E22" s="6"/>
      <c r="F22" s="6"/>
    </row>
    <row r="23" spans="1:13">
      <c r="A23" s="15">
        <v>11070</v>
      </c>
      <c r="B23" s="14" t="s">
        <v>123</v>
      </c>
      <c r="C23" s="15" t="s">
        <v>32</v>
      </c>
      <c r="D23" s="6" t="s">
        <v>4568</v>
      </c>
      <c r="E23" s="6"/>
      <c r="F23" s="6"/>
    </row>
    <row r="24" spans="1:13">
      <c r="A24" s="15">
        <v>10648</v>
      </c>
      <c r="B24" s="14" t="s">
        <v>124</v>
      </c>
      <c r="C24" s="15" t="s">
        <v>32</v>
      </c>
      <c r="D24" s="6" t="s">
        <v>4568</v>
      </c>
      <c r="E24" s="6"/>
      <c r="F24" s="6"/>
    </row>
    <row r="25" spans="1:13">
      <c r="A25" s="15">
        <v>11070</v>
      </c>
      <c r="B25" s="14" t="s">
        <v>125</v>
      </c>
      <c r="C25" s="15" t="s">
        <v>32</v>
      </c>
      <c r="D25" s="6" t="s">
        <v>4568</v>
      </c>
      <c r="E25" s="6"/>
      <c r="F25" s="6"/>
    </row>
    <row r="26" spans="1:13">
      <c r="A26" s="15">
        <v>8648</v>
      </c>
      <c r="B26" s="14" t="s">
        <v>126</v>
      </c>
      <c r="C26" s="15" t="s">
        <v>32</v>
      </c>
      <c r="D26" s="6" t="s">
        <v>4568</v>
      </c>
      <c r="E26" s="6"/>
      <c r="F26" s="6"/>
    </row>
    <row r="27" spans="1:13">
      <c r="A27" s="15">
        <v>10350</v>
      </c>
      <c r="B27" s="14" t="s">
        <v>140</v>
      </c>
      <c r="C27" s="15" t="s">
        <v>32</v>
      </c>
      <c r="D27" s="6" t="s">
        <v>4568</v>
      </c>
      <c r="E27" s="6"/>
      <c r="F27" s="6"/>
    </row>
    <row r="28" spans="1:13">
      <c r="A28" s="15">
        <v>8678</v>
      </c>
      <c r="B28" s="14" t="s">
        <v>143</v>
      </c>
      <c r="C28" s="15" t="s">
        <v>32</v>
      </c>
      <c r="D28" s="6" t="s">
        <v>4568</v>
      </c>
      <c r="E28" s="6"/>
      <c r="F28" s="6"/>
    </row>
    <row r="29" spans="1:13">
      <c r="A29" s="15">
        <v>11050</v>
      </c>
      <c r="B29" s="14" t="s">
        <v>141</v>
      </c>
      <c r="C29" s="15" t="s">
        <v>32</v>
      </c>
      <c r="D29" s="6" t="s">
        <v>4568</v>
      </c>
      <c r="E29" s="6"/>
      <c r="F29" s="6"/>
    </row>
    <row r="30" spans="1:13">
      <c r="A30" s="15">
        <v>11050</v>
      </c>
      <c r="B30" s="14" t="s">
        <v>150</v>
      </c>
      <c r="C30" s="15" t="s">
        <v>32</v>
      </c>
      <c r="D30" s="6" t="s">
        <v>4568</v>
      </c>
      <c r="E30" s="6"/>
      <c r="F30" s="6"/>
    </row>
    <row r="31" spans="1:13">
      <c r="A31" s="15">
        <v>11350</v>
      </c>
      <c r="B31" s="14" t="s">
        <v>153</v>
      </c>
      <c r="C31" s="15" t="s">
        <v>32</v>
      </c>
      <c r="D31" s="6" t="s">
        <v>4568</v>
      </c>
      <c r="E31" s="6"/>
      <c r="F31" s="6"/>
    </row>
    <row r="32" spans="1:13">
      <c r="A32" s="15">
        <v>10548</v>
      </c>
      <c r="B32" s="14" t="s">
        <v>155</v>
      </c>
      <c r="C32" s="15" t="s">
        <v>32</v>
      </c>
      <c r="D32" s="6" t="s">
        <v>4568</v>
      </c>
      <c r="E32" s="6"/>
      <c r="F32" s="6"/>
    </row>
    <row r="33" spans="1:6">
      <c r="A33" s="15">
        <v>10650</v>
      </c>
      <c r="B33" s="14" t="s">
        <v>152</v>
      </c>
      <c r="C33" s="15" t="s">
        <v>32</v>
      </c>
      <c r="D33" s="6" t="s">
        <v>4568</v>
      </c>
      <c r="E33" s="6"/>
      <c r="F33" s="6"/>
    </row>
    <row r="34" spans="1:6">
      <c r="A34" s="15">
        <v>10650</v>
      </c>
      <c r="B34" s="14" t="s">
        <v>151</v>
      </c>
      <c r="C34" s="15" t="s">
        <v>32</v>
      </c>
      <c r="D34" s="6" t="s">
        <v>4568</v>
      </c>
      <c r="E34" s="6"/>
      <c r="F34" s="6"/>
    </row>
    <row r="35" spans="1:6">
      <c r="A35" s="15">
        <v>10848</v>
      </c>
      <c r="B35" s="14" t="s">
        <v>154</v>
      </c>
      <c r="C35" s="15" t="s">
        <v>32</v>
      </c>
      <c r="D35" s="6" t="s">
        <v>4568</v>
      </c>
      <c r="E35" s="6"/>
      <c r="F35" s="6"/>
    </row>
    <row r="36" spans="1:6">
      <c r="A36" s="15">
        <v>10770</v>
      </c>
      <c r="B36" s="14" t="s">
        <v>1595</v>
      </c>
      <c r="C36" s="15" t="s">
        <v>32</v>
      </c>
      <c r="D36" s="6" t="s">
        <v>4568</v>
      </c>
      <c r="E36" s="6"/>
      <c r="F36" s="6"/>
    </row>
    <row r="37" spans="1:6">
      <c r="A37" s="15">
        <v>10770</v>
      </c>
      <c r="B37" s="14" t="s">
        <v>1752</v>
      </c>
      <c r="C37" s="15" t="s">
        <v>32</v>
      </c>
      <c r="D37" s="6" t="s">
        <v>4568</v>
      </c>
      <c r="E37" s="6"/>
      <c r="F37" s="6"/>
    </row>
    <row r="38" spans="1:6">
      <c r="A38" s="15">
        <v>10450</v>
      </c>
      <c r="B38" s="14" t="s">
        <v>2254</v>
      </c>
      <c r="C38" s="15" t="s">
        <v>32</v>
      </c>
      <c r="D38" s="6" t="s">
        <v>4568</v>
      </c>
      <c r="E38" s="6"/>
      <c r="F38" s="6"/>
    </row>
    <row r="39" spans="1:6">
      <c r="A39" s="15">
        <v>10770</v>
      </c>
      <c r="B39" s="14" t="s">
        <v>2253</v>
      </c>
      <c r="C39" s="15" t="s">
        <v>32</v>
      </c>
      <c r="D39" s="6" t="s">
        <v>4568</v>
      </c>
      <c r="E39" s="6"/>
      <c r="F39" s="6"/>
    </row>
    <row r="40" spans="1:6">
      <c r="A40" s="15">
        <v>10450</v>
      </c>
      <c r="B40" s="14" t="s">
        <v>2688</v>
      </c>
      <c r="C40" s="15" t="s">
        <v>32</v>
      </c>
      <c r="D40" s="6" t="s">
        <v>4568</v>
      </c>
      <c r="E40" s="6"/>
      <c r="F40" s="6"/>
    </row>
    <row r="41" spans="1:6">
      <c r="A41" s="102">
        <v>10448</v>
      </c>
      <c r="B41" s="14" t="s">
        <v>4458</v>
      </c>
      <c r="C41" s="15" t="s">
        <v>32</v>
      </c>
      <c r="D41" s="6" t="s">
        <v>4568</v>
      </c>
      <c r="E41" s="6"/>
      <c r="F41" s="6"/>
    </row>
    <row r="42" spans="1:6">
      <c r="A42" s="102">
        <v>10530</v>
      </c>
      <c r="B42" s="14" t="s">
        <v>4459</v>
      </c>
      <c r="C42" s="15" t="s">
        <v>32</v>
      </c>
      <c r="D42" s="6" t="s">
        <v>4568</v>
      </c>
      <c r="E42" s="6"/>
      <c r="F42" s="6"/>
    </row>
    <row r="43" spans="1:6">
      <c r="A43" s="15">
        <v>10670</v>
      </c>
      <c r="B43" s="14" t="s">
        <v>4490</v>
      </c>
      <c r="C43" s="15" t="s">
        <v>32</v>
      </c>
      <c r="D43" s="6" t="s">
        <v>4568</v>
      </c>
      <c r="E43" s="6"/>
      <c r="F43" s="6"/>
    </row>
    <row r="44" spans="1:6">
      <c r="A44" s="15">
        <v>10670</v>
      </c>
      <c r="B44" s="14" t="s">
        <v>4491</v>
      </c>
      <c r="C44" s="15" t="s">
        <v>32</v>
      </c>
      <c r="D44" s="6" t="s">
        <v>4568</v>
      </c>
      <c r="E44" s="6"/>
      <c r="F44" s="6"/>
    </row>
    <row r="45" spans="1:6">
      <c r="A45" s="15">
        <v>10848</v>
      </c>
      <c r="B45" s="14" t="s">
        <v>4496</v>
      </c>
      <c r="C45" s="15" t="s">
        <v>32</v>
      </c>
      <c r="D45" s="6" t="s">
        <v>4568</v>
      </c>
      <c r="E45" s="6"/>
      <c r="F45" s="6"/>
    </row>
    <row r="46" spans="1:6">
      <c r="A46" s="15">
        <v>11048</v>
      </c>
      <c r="B46" s="14" t="s">
        <v>4497</v>
      </c>
      <c r="C46" s="15" t="s">
        <v>32</v>
      </c>
      <c r="D46" s="6" t="s">
        <v>4568</v>
      </c>
      <c r="E46" s="6"/>
      <c r="F46" s="6"/>
    </row>
    <row r="47" spans="1:6">
      <c r="A47" s="15">
        <v>10950</v>
      </c>
      <c r="B47" s="14" t="s">
        <v>4498</v>
      </c>
      <c r="C47" s="15" t="s">
        <v>32</v>
      </c>
      <c r="D47" s="6" t="s">
        <v>4568</v>
      </c>
      <c r="E47" s="6"/>
      <c r="F47" s="6"/>
    </row>
    <row r="48" spans="1:6">
      <c r="A48" s="15">
        <v>10548</v>
      </c>
      <c r="B48" s="14" t="s">
        <v>4530</v>
      </c>
      <c r="C48" s="15" t="s">
        <v>32</v>
      </c>
      <c r="D48" s="6" t="s">
        <v>4568</v>
      </c>
      <c r="E48" s="6"/>
      <c r="F48" s="6"/>
    </row>
    <row r="49" spans="1:6">
      <c r="A49" s="15">
        <v>11090</v>
      </c>
      <c r="B49" s="14" t="s">
        <v>4531</v>
      </c>
      <c r="C49" s="15" t="s">
        <v>32</v>
      </c>
      <c r="D49" s="6" t="s">
        <v>4568</v>
      </c>
      <c r="E49" s="6"/>
      <c r="F49" s="6"/>
    </row>
    <row r="50" spans="1:6">
      <c r="A50" s="15">
        <v>11090</v>
      </c>
      <c r="B50" s="14" t="s">
        <v>4539</v>
      </c>
      <c r="C50" s="15" t="s">
        <v>32</v>
      </c>
      <c r="D50" s="6" t="s">
        <v>4568</v>
      </c>
      <c r="E50" s="6"/>
      <c r="F50" s="6"/>
    </row>
    <row r="51" spans="1:6">
      <c r="A51" s="15">
        <v>10870</v>
      </c>
      <c r="B51" s="14" t="s">
        <v>4540</v>
      </c>
      <c r="C51" s="15" t="s">
        <v>32</v>
      </c>
      <c r="D51" s="6" t="s">
        <v>4568</v>
      </c>
      <c r="E51" s="6"/>
      <c r="F51" s="6"/>
    </row>
    <row r="52" spans="1:6">
      <c r="A52" s="15">
        <v>10450</v>
      </c>
      <c r="B52" s="14" t="s">
        <v>4541</v>
      </c>
      <c r="C52" s="15" t="s">
        <v>32</v>
      </c>
      <c r="D52" s="6" t="s">
        <v>4568</v>
      </c>
      <c r="E52" s="6"/>
      <c r="F52" s="6"/>
    </row>
    <row r="53" spans="1:6">
      <c r="A53" s="15">
        <v>11048</v>
      </c>
      <c r="B53" s="14" t="s">
        <v>4546</v>
      </c>
      <c r="C53" s="15" t="s">
        <v>32</v>
      </c>
      <c r="D53" s="6" t="s">
        <v>4568</v>
      </c>
      <c r="E53" s="6"/>
      <c r="F53" s="6"/>
    </row>
    <row r="54" spans="1:6">
      <c r="A54" s="15">
        <v>10970</v>
      </c>
      <c r="B54" s="14" t="s">
        <v>4547</v>
      </c>
      <c r="C54" s="15" t="s">
        <v>32</v>
      </c>
      <c r="D54" s="6" t="s">
        <v>4568</v>
      </c>
      <c r="E54" s="6"/>
      <c r="F54" s="6"/>
    </row>
    <row r="55" spans="1:6">
      <c r="A55" s="15">
        <v>10700</v>
      </c>
      <c r="B55" s="14" t="s">
        <v>4554</v>
      </c>
      <c r="C55" s="15" t="s">
        <v>32</v>
      </c>
      <c r="D55" s="6" t="s">
        <v>4569</v>
      </c>
      <c r="E55" s="6"/>
      <c r="F55" s="6"/>
    </row>
    <row r="56" spans="1:6">
      <c r="A56" s="15">
        <v>11000</v>
      </c>
      <c r="B56" s="14" t="s">
        <v>4553</v>
      </c>
      <c r="C56" s="15" t="s">
        <v>32</v>
      </c>
      <c r="D56" s="6" t="s">
        <v>4569</v>
      </c>
      <c r="E56" s="6"/>
      <c r="F56" s="6"/>
    </row>
    <row r="57" spans="1:6">
      <c r="A57" s="15">
        <v>11000</v>
      </c>
      <c r="B57" s="14" t="s">
        <v>4555</v>
      </c>
      <c r="C57" s="15" t="s">
        <v>32</v>
      </c>
      <c r="D57" s="6" t="s">
        <v>4569</v>
      </c>
      <c r="E57" s="6"/>
      <c r="F57" s="6"/>
    </row>
    <row r="58" spans="1:6">
      <c r="A58" s="15">
        <v>11000</v>
      </c>
      <c r="B58" s="14" t="s">
        <v>4565</v>
      </c>
      <c r="C58" s="15" t="s">
        <v>32</v>
      </c>
      <c r="D58" s="6" t="s">
        <v>4569</v>
      </c>
      <c r="E58" s="6"/>
      <c r="F58" s="6"/>
    </row>
    <row r="59" spans="1:6">
      <c r="A59" s="15">
        <v>10000</v>
      </c>
      <c r="B59" s="14" t="s">
        <v>4563</v>
      </c>
      <c r="C59" s="15" t="s">
        <v>32</v>
      </c>
      <c r="D59" s="6" t="s">
        <v>4569</v>
      </c>
      <c r="E59" s="6"/>
      <c r="F59" s="6"/>
    </row>
    <row r="60" spans="1:6">
      <c r="A60" s="15">
        <v>10000</v>
      </c>
      <c r="B60" s="14" t="s">
        <v>4564</v>
      </c>
      <c r="C60" s="15" t="s">
        <v>32</v>
      </c>
      <c r="D60" s="6" t="s">
        <v>4569</v>
      </c>
      <c r="E60" s="6"/>
      <c r="F60" s="6"/>
    </row>
    <row r="61" spans="1:6">
      <c r="A61" s="15">
        <v>11000</v>
      </c>
      <c r="B61" s="14" t="s">
        <v>4571</v>
      </c>
      <c r="C61" s="15" t="s">
        <v>32</v>
      </c>
      <c r="D61" s="6" t="s">
        <v>4569</v>
      </c>
      <c r="E61" s="6"/>
      <c r="F61" s="6"/>
    </row>
    <row r="62" spans="1:6">
      <c r="A62" s="6">
        <v>10000</v>
      </c>
      <c r="B62" s="85" t="s">
        <v>4578</v>
      </c>
      <c r="C62" s="6"/>
      <c r="D62" s="6" t="s">
        <v>4569</v>
      </c>
      <c r="E62" s="6"/>
      <c r="F62" s="6"/>
    </row>
    <row r="63" spans="1:6">
      <c r="A63" s="6">
        <v>10000</v>
      </c>
      <c r="B63" s="85" t="s">
        <v>4576</v>
      </c>
      <c r="C63" s="6"/>
      <c r="D63" s="6" t="s">
        <v>4569</v>
      </c>
      <c r="E63" s="6"/>
      <c r="F63" s="6"/>
    </row>
    <row r="64" spans="1:6">
      <c r="A64" s="6"/>
      <c r="B64" s="85"/>
      <c r="C64" s="6"/>
      <c r="D64" s="6"/>
      <c r="E64" s="6"/>
      <c r="F64" s="6"/>
    </row>
    <row r="65" spans="1:6">
      <c r="A65" s="6"/>
      <c r="B65" s="85"/>
      <c r="C65" s="6"/>
      <c r="D65" s="6"/>
      <c r="E65" s="6"/>
      <c r="F65" s="6"/>
    </row>
    <row r="66" spans="1:6">
      <c r="A66" s="6"/>
      <c r="B66" s="85"/>
      <c r="C66" s="6"/>
      <c r="D66" s="6"/>
      <c r="E66" s="6"/>
      <c r="F66" s="6"/>
    </row>
    <row r="67" spans="1:6">
      <c r="A67" s="6"/>
      <c r="B67" s="85"/>
      <c r="C67" s="6"/>
      <c r="D67" s="6"/>
      <c r="E67" s="6"/>
      <c r="F67" s="6"/>
    </row>
    <row r="68" spans="1:6">
      <c r="A68" s="6"/>
      <c r="B68" s="85"/>
      <c r="C68" s="6"/>
      <c r="D68" s="6"/>
      <c r="E68" s="6"/>
      <c r="F68" s="6"/>
    </row>
    <row r="69" spans="1:6">
      <c r="A69" s="6"/>
      <c r="B69" s="85"/>
      <c r="C69" s="6"/>
      <c r="D69" s="6"/>
      <c r="E69" s="6"/>
      <c r="F69" s="6"/>
    </row>
    <row r="70" spans="1:6">
      <c r="A70" s="6"/>
      <c r="B70" s="85"/>
      <c r="C70" s="6"/>
      <c r="D70" s="6"/>
      <c r="E70" s="6"/>
      <c r="F70" s="6"/>
    </row>
  </sheetData>
  <mergeCells count="4">
    <mergeCell ref="H1:K1"/>
    <mergeCell ref="L1:M2"/>
    <mergeCell ref="A1:G1"/>
    <mergeCell ref="E9:G9"/>
  </mergeCells>
  <conditionalFormatting sqref="B34:B35">
    <cfRule type="duplicateValues" dxfId="774" priority="5"/>
    <cfRule type="duplicateValues" dxfId="773" priority="6"/>
  </conditionalFormatting>
  <conditionalFormatting sqref="B36:B37">
    <cfRule type="duplicateValues" dxfId="772" priority="3"/>
    <cfRule type="duplicateValues" dxfId="771" priority="4"/>
  </conditionalFormatting>
  <conditionalFormatting sqref="B54">
    <cfRule type="duplicateValues" dxfId="770" priority="1"/>
    <cfRule type="duplicateValues" dxfId="769" priority="2"/>
  </conditionalFormatting>
  <conditionalFormatting sqref="H21:H1048576 B1:B1048576 H1:H19">
    <cfRule type="duplicateValues" dxfId="768" priority="12"/>
  </conditionalFormatting>
  <conditionalFormatting sqref="H21:H1048576 H1:H19">
    <cfRule type="duplicateValues" dxfId="767" priority="13"/>
    <cfRule type="duplicateValues" dxfId="766" priority="14"/>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B1CD-2856-4948-9173-185F2A309057}">
  <dimension ref="A1:D59"/>
  <sheetViews>
    <sheetView workbookViewId="0">
      <selection activeCell="E30" sqref="E30"/>
    </sheetView>
  </sheetViews>
  <sheetFormatPr defaultRowHeight="15"/>
  <cols>
    <col min="1" max="1" width="12.28515625" bestFit="1" customWidth="1"/>
    <col min="2" max="2" width="19.85546875" bestFit="1" customWidth="1"/>
    <col min="3" max="3" width="16" bestFit="1" customWidth="1"/>
    <col min="4" max="4" width="23" customWidth="1"/>
  </cols>
  <sheetData>
    <row r="1" spans="1:4">
      <c r="A1" s="1" t="s">
        <v>17</v>
      </c>
      <c r="B1" s="1" t="s">
        <v>74</v>
      </c>
      <c r="C1" s="1" t="s">
        <v>3</v>
      </c>
      <c r="D1" s="1" t="s">
        <v>117</v>
      </c>
    </row>
    <row r="2" spans="1:4">
      <c r="A2" s="1">
        <v>191199187</v>
      </c>
      <c r="B2" s="1" t="s">
        <v>89</v>
      </c>
      <c r="C2" s="1"/>
      <c r="D2" s="1"/>
    </row>
    <row r="3" spans="1:4">
      <c r="A3" s="1">
        <v>774533358</v>
      </c>
      <c r="B3" s="1" t="s">
        <v>89</v>
      </c>
      <c r="C3" s="1"/>
      <c r="D3" s="1"/>
    </row>
    <row r="4" spans="1:4">
      <c r="A4" s="1">
        <v>984983262</v>
      </c>
      <c r="B4" s="1" t="s">
        <v>88</v>
      </c>
      <c r="C4" s="1"/>
      <c r="D4" s="1"/>
    </row>
    <row r="5" spans="1:4">
      <c r="A5" s="1">
        <v>984983334</v>
      </c>
      <c r="B5" s="1" t="s">
        <v>88</v>
      </c>
      <c r="C5" s="1"/>
      <c r="D5" s="1"/>
    </row>
    <row r="6" spans="1:4">
      <c r="A6" s="1">
        <v>984983597</v>
      </c>
      <c r="B6" s="1" t="s">
        <v>88</v>
      </c>
      <c r="C6" s="1"/>
      <c r="D6" s="1"/>
    </row>
    <row r="7" spans="1:4">
      <c r="A7" s="1">
        <v>784065576</v>
      </c>
      <c r="B7" s="1" t="s">
        <v>111</v>
      </c>
      <c r="C7" s="1"/>
      <c r="D7" s="1"/>
    </row>
    <row r="8" spans="1:4">
      <c r="A8" s="1">
        <v>77087865</v>
      </c>
      <c r="B8" s="1" t="s">
        <v>95</v>
      </c>
      <c r="C8" s="1"/>
      <c r="D8" s="1"/>
    </row>
    <row r="9" spans="1:4">
      <c r="A9" s="1">
        <v>890769195</v>
      </c>
      <c r="B9" s="1" t="s">
        <v>102</v>
      </c>
      <c r="C9" s="1"/>
      <c r="D9" s="1"/>
    </row>
    <row r="10" spans="1:4">
      <c r="A10" s="1">
        <v>774726559</v>
      </c>
      <c r="B10" s="1" t="s">
        <v>99</v>
      </c>
      <c r="C10" s="1"/>
      <c r="D10" s="1"/>
    </row>
    <row r="11" spans="1:4">
      <c r="A11" s="1">
        <v>894511692</v>
      </c>
      <c r="B11" s="1" t="s">
        <v>99</v>
      </c>
      <c r="C11" s="1"/>
      <c r="D11" s="1"/>
    </row>
    <row r="12" spans="1:4">
      <c r="A12" s="1">
        <v>984980961</v>
      </c>
      <c r="B12" s="1" t="s">
        <v>93</v>
      </c>
      <c r="C12" s="1"/>
      <c r="D12" s="1"/>
    </row>
    <row r="13" spans="1:4">
      <c r="A13" s="1" t="s">
        <v>76</v>
      </c>
      <c r="B13" s="1" t="s">
        <v>77</v>
      </c>
      <c r="C13" s="1"/>
      <c r="D13" s="1"/>
    </row>
    <row r="14" spans="1:4">
      <c r="A14" s="1" t="s">
        <v>75</v>
      </c>
      <c r="B14" s="1" t="s">
        <v>77</v>
      </c>
      <c r="C14" s="1"/>
      <c r="D14" s="1"/>
    </row>
    <row r="15" spans="1:4">
      <c r="A15" s="1">
        <v>774458849</v>
      </c>
      <c r="B15" s="1" t="s">
        <v>92</v>
      </c>
      <c r="C15" s="1"/>
      <c r="D15" s="1"/>
    </row>
    <row r="16" spans="1:4">
      <c r="A16" s="1">
        <v>984982253</v>
      </c>
      <c r="B16" s="1" t="s">
        <v>104</v>
      </c>
      <c r="C16" s="1"/>
      <c r="D16" s="1"/>
    </row>
    <row r="17" spans="1:4">
      <c r="A17" s="1">
        <v>888283035</v>
      </c>
      <c r="B17" s="1" t="s">
        <v>91</v>
      </c>
      <c r="C17" s="1"/>
      <c r="D17" s="1"/>
    </row>
    <row r="18" spans="1:4">
      <c r="A18" s="1">
        <v>984981526</v>
      </c>
      <c r="B18" s="1" t="s">
        <v>103</v>
      </c>
      <c r="C18" s="1" t="s">
        <v>114</v>
      </c>
      <c r="D18" s="1"/>
    </row>
    <row r="19" spans="1:4">
      <c r="A19" s="1">
        <v>984983880</v>
      </c>
      <c r="B19" s="1" t="s">
        <v>103</v>
      </c>
      <c r="C19" s="1" t="s">
        <v>114</v>
      </c>
      <c r="D19" s="1"/>
    </row>
    <row r="20" spans="1:4">
      <c r="A20" s="1" t="s">
        <v>112</v>
      </c>
      <c r="B20" s="1" t="s">
        <v>113</v>
      </c>
      <c r="C20" s="1" t="s">
        <v>116</v>
      </c>
      <c r="D20" s="1"/>
    </row>
    <row r="21" spans="1:4">
      <c r="A21" s="1">
        <v>771647932</v>
      </c>
      <c r="B21" s="1" t="s">
        <v>100</v>
      </c>
      <c r="C21" s="1"/>
      <c r="D21" s="1"/>
    </row>
    <row r="22" spans="1:4">
      <c r="A22" s="1">
        <v>770464846</v>
      </c>
      <c r="B22" s="1" t="s">
        <v>108</v>
      </c>
      <c r="C22" s="1"/>
      <c r="D22" s="1"/>
    </row>
    <row r="23" spans="1:4">
      <c r="A23" s="1">
        <v>984983955</v>
      </c>
      <c r="B23" s="1" t="s">
        <v>90</v>
      </c>
      <c r="C23" s="1"/>
      <c r="D23" s="1"/>
    </row>
    <row r="24" spans="1:4">
      <c r="A24" s="1">
        <v>771878927</v>
      </c>
      <c r="B24" s="1" t="s">
        <v>94</v>
      </c>
      <c r="C24" s="1"/>
      <c r="D24" s="1"/>
    </row>
    <row r="25" spans="1:4">
      <c r="A25" s="1">
        <v>772282082</v>
      </c>
      <c r="B25" s="1" t="s">
        <v>94</v>
      </c>
      <c r="C25" s="1"/>
      <c r="D25" s="1"/>
    </row>
    <row r="26" spans="1:4">
      <c r="A26" s="1">
        <v>894133300</v>
      </c>
      <c r="B26" s="1" t="s">
        <v>94</v>
      </c>
      <c r="C26" s="13"/>
    </row>
    <row r="27" spans="1:4">
      <c r="A27" s="1">
        <v>771233727</v>
      </c>
      <c r="B27" s="1" t="s">
        <v>87</v>
      </c>
      <c r="C27" s="1"/>
    </row>
    <row r="28" spans="1:4">
      <c r="A28" s="1">
        <v>888816453</v>
      </c>
      <c r="B28" s="1" t="s">
        <v>87</v>
      </c>
      <c r="C28" s="1"/>
    </row>
    <row r="29" spans="1:4">
      <c r="A29" s="1">
        <v>888930547</v>
      </c>
      <c r="B29" s="1" t="s">
        <v>87</v>
      </c>
      <c r="C29" s="1"/>
    </row>
    <row r="30" spans="1:4">
      <c r="A30" s="1">
        <v>889039162</v>
      </c>
      <c r="B30" s="1" t="s">
        <v>87</v>
      </c>
      <c r="C30" s="1"/>
    </row>
    <row r="31" spans="1:4">
      <c r="A31" s="1" t="s">
        <v>109</v>
      </c>
      <c r="B31" s="1" t="s">
        <v>110</v>
      </c>
      <c r="C31" s="1"/>
    </row>
    <row r="32" spans="1:4">
      <c r="A32" s="1">
        <v>984980749</v>
      </c>
      <c r="B32" s="1" t="s">
        <v>107</v>
      </c>
      <c r="C32" s="1"/>
    </row>
    <row r="33" spans="1:3">
      <c r="A33" s="1">
        <v>774385637</v>
      </c>
      <c r="B33" s="1" t="s">
        <v>106</v>
      </c>
      <c r="C33" s="1"/>
    </row>
    <row r="34" spans="1:3">
      <c r="A34" s="1">
        <v>984980063</v>
      </c>
      <c r="B34" s="1" t="s">
        <v>96</v>
      </c>
      <c r="C34" s="1"/>
    </row>
    <row r="35" spans="1:3">
      <c r="A35" s="1">
        <v>984974261</v>
      </c>
      <c r="B35" s="1" t="s">
        <v>86</v>
      </c>
      <c r="C35" s="1" t="s">
        <v>114</v>
      </c>
    </row>
    <row r="36" spans="1:3">
      <c r="A36" s="1">
        <v>984974304</v>
      </c>
      <c r="B36" s="1" t="s">
        <v>86</v>
      </c>
      <c r="C36" s="1" t="s">
        <v>114</v>
      </c>
    </row>
    <row r="37" spans="1:3">
      <c r="A37" s="1">
        <v>984983512</v>
      </c>
      <c r="B37" s="1" t="s">
        <v>86</v>
      </c>
      <c r="C37" s="1" t="s">
        <v>114</v>
      </c>
    </row>
    <row r="38" spans="1:3">
      <c r="A38" s="1">
        <v>984983592</v>
      </c>
      <c r="B38" s="1" t="s">
        <v>86</v>
      </c>
      <c r="C38" s="1" t="s">
        <v>114</v>
      </c>
    </row>
    <row r="39" spans="1:3">
      <c r="A39" s="1">
        <v>984983611</v>
      </c>
      <c r="B39" s="1" t="s">
        <v>86</v>
      </c>
      <c r="C39" s="1" t="s">
        <v>114</v>
      </c>
    </row>
    <row r="40" spans="1:3">
      <c r="A40" s="1">
        <v>984983706</v>
      </c>
      <c r="B40" s="1" t="s">
        <v>86</v>
      </c>
      <c r="C40" s="1" t="s">
        <v>114</v>
      </c>
    </row>
    <row r="41" spans="1:3">
      <c r="A41" s="1">
        <v>984983655</v>
      </c>
      <c r="B41" s="1" t="s">
        <v>83</v>
      </c>
      <c r="C41" s="1" t="s">
        <v>114</v>
      </c>
    </row>
    <row r="42" spans="1:3">
      <c r="A42" s="1">
        <v>984983996</v>
      </c>
      <c r="B42" s="1" t="s">
        <v>83</v>
      </c>
      <c r="C42" s="1" t="s">
        <v>114</v>
      </c>
    </row>
    <row r="43" spans="1:3">
      <c r="A43" s="1">
        <v>984984020</v>
      </c>
      <c r="B43" s="1" t="s">
        <v>83</v>
      </c>
      <c r="C43" s="1" t="s">
        <v>114</v>
      </c>
    </row>
    <row r="44" spans="1:3">
      <c r="A44" s="1" t="s">
        <v>81</v>
      </c>
      <c r="B44" s="1" t="s">
        <v>83</v>
      </c>
      <c r="C44" s="1" t="s">
        <v>114</v>
      </c>
    </row>
    <row r="45" spans="1:3">
      <c r="A45" s="1" t="s">
        <v>79</v>
      </c>
      <c r="B45" s="1" t="s">
        <v>83</v>
      </c>
      <c r="C45" s="1" t="s">
        <v>114</v>
      </c>
    </row>
    <row r="46" spans="1:3">
      <c r="A46" s="1" t="s">
        <v>80</v>
      </c>
      <c r="B46" s="1" t="s">
        <v>83</v>
      </c>
      <c r="C46" s="1" t="s">
        <v>114</v>
      </c>
    </row>
    <row r="47" spans="1:3">
      <c r="A47" s="1" t="s">
        <v>78</v>
      </c>
      <c r="B47" s="1" t="s">
        <v>83</v>
      </c>
      <c r="C47" s="1" t="s">
        <v>114</v>
      </c>
    </row>
    <row r="48" spans="1:3">
      <c r="A48" s="1" t="s">
        <v>82</v>
      </c>
      <c r="B48" s="1" t="s">
        <v>83</v>
      </c>
      <c r="C48" s="1" t="s">
        <v>114</v>
      </c>
    </row>
    <row r="49" spans="1:3">
      <c r="A49" s="1">
        <v>984982021</v>
      </c>
      <c r="B49" s="1" t="s">
        <v>97</v>
      </c>
      <c r="C49" s="1"/>
    </row>
    <row r="50" spans="1:3">
      <c r="A50" s="1">
        <v>894232884</v>
      </c>
      <c r="B50" s="1" t="s">
        <v>98</v>
      </c>
      <c r="C50" s="1"/>
    </row>
    <row r="51" spans="1:3">
      <c r="A51" s="1">
        <v>984974380</v>
      </c>
      <c r="B51" s="1" t="s">
        <v>85</v>
      </c>
      <c r="C51" s="1" t="s">
        <v>115</v>
      </c>
    </row>
    <row r="52" spans="1:3">
      <c r="A52" s="1">
        <v>984974460</v>
      </c>
      <c r="B52" s="1" t="s">
        <v>85</v>
      </c>
      <c r="C52" s="1" t="s">
        <v>115</v>
      </c>
    </row>
    <row r="53" spans="1:3">
      <c r="A53" s="1">
        <v>984983447</v>
      </c>
      <c r="B53" s="1" t="s">
        <v>85</v>
      </c>
      <c r="C53" s="1" t="s">
        <v>115</v>
      </c>
    </row>
    <row r="54" spans="1:3">
      <c r="A54" s="1">
        <v>984983452</v>
      </c>
      <c r="B54" s="1" t="s">
        <v>85</v>
      </c>
      <c r="C54" s="1" t="s">
        <v>115</v>
      </c>
    </row>
    <row r="55" spans="1:3">
      <c r="A55" s="1">
        <v>984983956</v>
      </c>
      <c r="B55" s="1" t="s">
        <v>85</v>
      </c>
      <c r="C55" s="1" t="s">
        <v>115</v>
      </c>
    </row>
    <row r="56" spans="1:3">
      <c r="A56" s="1">
        <v>984984239</v>
      </c>
      <c r="B56" s="1" t="s">
        <v>85</v>
      </c>
      <c r="C56" s="1" t="s">
        <v>115</v>
      </c>
    </row>
    <row r="57" spans="1:3">
      <c r="A57" s="1" t="s">
        <v>84</v>
      </c>
      <c r="B57" s="1" t="s">
        <v>85</v>
      </c>
      <c r="C57" s="1" t="s">
        <v>115</v>
      </c>
    </row>
    <row r="58" spans="1:3">
      <c r="A58" s="1">
        <v>771270409</v>
      </c>
      <c r="B58" s="1" t="s">
        <v>105</v>
      </c>
      <c r="C58" s="1"/>
    </row>
    <row r="59" spans="1:3">
      <c r="A59" s="1">
        <v>894159065</v>
      </c>
      <c r="B59" s="1" t="s">
        <v>101</v>
      </c>
      <c r="C59" s="1"/>
    </row>
  </sheetData>
  <autoFilter ref="A1:C59" xr:uid="{588AB1CD-2856-4948-9173-185F2A309057}">
    <sortState xmlns:xlrd2="http://schemas.microsoft.com/office/spreadsheetml/2017/richdata2" ref="A2:C59">
      <sortCondition ref="B1:B59"/>
    </sortState>
  </autoFilter>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27FCA-FB21-490E-9F11-3C9DC9BD9BB3}">
  <dimension ref="B2:X71"/>
  <sheetViews>
    <sheetView showGridLines="0" topLeftCell="A24" zoomScaleNormal="100" workbookViewId="0">
      <selection activeCell="H3" sqref="B3:H34"/>
    </sheetView>
  </sheetViews>
  <sheetFormatPr defaultRowHeight="15"/>
  <cols>
    <col min="2" max="2" width="27.85546875" bestFit="1" customWidth="1"/>
    <col min="4" max="4" width="60.5703125" bestFit="1" customWidth="1"/>
    <col min="6" max="6" width="9.140625" customWidth="1"/>
    <col min="7" max="7" width="16.140625" bestFit="1" customWidth="1"/>
    <col min="8" max="8" width="17.7109375" bestFit="1" customWidth="1"/>
    <col min="20" max="20" width="9.140625" customWidth="1"/>
    <col min="21" max="21" width="15.42578125" bestFit="1" customWidth="1"/>
    <col min="22" max="23" width="14.7109375" bestFit="1" customWidth="1"/>
    <col min="24" max="24" width="25" bestFit="1" customWidth="1"/>
    <col min="25" max="25" width="0" hidden="1" customWidth="1"/>
  </cols>
  <sheetData>
    <row r="2" spans="2:24" ht="15.75" thickBot="1"/>
    <row r="3" spans="2:24" ht="15" customHeight="1">
      <c r="B3" s="38"/>
      <c r="C3" s="39"/>
      <c r="D3" s="39"/>
      <c r="E3" s="39"/>
      <c r="F3" s="39"/>
      <c r="G3" s="39"/>
      <c r="H3" s="184" t="s">
        <v>136</v>
      </c>
      <c r="I3" s="34"/>
    </row>
    <row r="4" spans="2:24" ht="15" customHeight="1">
      <c r="B4" s="46" t="s">
        <v>4543</v>
      </c>
      <c r="C4" s="22"/>
      <c r="D4" s="22"/>
      <c r="E4" s="22"/>
      <c r="F4" s="22"/>
      <c r="G4" s="22"/>
      <c r="H4" s="185"/>
      <c r="I4" s="34"/>
    </row>
    <row r="5" spans="2:24">
      <c r="B5" s="46" t="s">
        <v>127</v>
      </c>
      <c r="C5" s="22"/>
      <c r="D5" s="22"/>
      <c r="E5" s="22"/>
      <c r="F5" s="22"/>
      <c r="G5" s="43" t="s">
        <v>20</v>
      </c>
      <c r="H5" s="107">
        <v>46026</v>
      </c>
    </row>
    <row r="6" spans="2:24">
      <c r="B6" s="47">
        <v>3138832688</v>
      </c>
      <c r="C6" s="22"/>
      <c r="D6" s="22"/>
      <c r="E6" s="22"/>
      <c r="F6" s="22"/>
      <c r="G6" s="45" t="s">
        <v>138</v>
      </c>
      <c r="H6" s="44" t="s">
        <v>137</v>
      </c>
      <c r="U6" t="s">
        <v>160</v>
      </c>
      <c r="V6" t="s">
        <v>161</v>
      </c>
      <c r="W6" t="s">
        <v>162</v>
      </c>
      <c r="X6" t="s">
        <v>163</v>
      </c>
    </row>
    <row r="7" spans="2:24">
      <c r="B7" s="46" t="s">
        <v>128</v>
      </c>
      <c r="C7" s="22"/>
      <c r="D7" s="22"/>
      <c r="E7" s="22"/>
      <c r="F7" s="22"/>
      <c r="G7" s="22"/>
      <c r="H7" s="41"/>
      <c r="U7" t="s">
        <v>164</v>
      </c>
      <c r="V7" t="s">
        <v>165</v>
      </c>
      <c r="W7" t="s">
        <v>166</v>
      </c>
      <c r="X7" t="s">
        <v>167</v>
      </c>
    </row>
    <row r="8" spans="2:24">
      <c r="B8" s="186" t="s">
        <v>129</v>
      </c>
      <c r="C8" s="180"/>
      <c r="D8" s="45" t="s">
        <v>139</v>
      </c>
      <c r="E8" s="22"/>
      <c r="F8" s="22"/>
      <c r="G8" s="22"/>
      <c r="H8" s="41"/>
      <c r="U8" t="s">
        <v>168</v>
      </c>
      <c r="V8" t="s">
        <v>169</v>
      </c>
      <c r="W8" t="s">
        <v>166</v>
      </c>
      <c r="X8" t="s">
        <v>170</v>
      </c>
    </row>
    <row r="9" spans="2:24">
      <c r="B9" s="187" t="s">
        <v>4544</v>
      </c>
      <c r="C9" s="188"/>
      <c r="D9" s="188"/>
      <c r="E9" s="188"/>
      <c r="F9" s="188"/>
      <c r="G9" s="188"/>
      <c r="H9" s="189"/>
      <c r="U9" t="s">
        <v>171</v>
      </c>
      <c r="V9" t="s">
        <v>172</v>
      </c>
      <c r="W9" t="s">
        <v>173</v>
      </c>
      <c r="X9" t="s">
        <v>174</v>
      </c>
    </row>
    <row r="10" spans="2:24" ht="15.75" thickBot="1">
      <c r="B10" s="52" t="s">
        <v>130</v>
      </c>
      <c r="C10" s="35"/>
      <c r="D10" s="35"/>
      <c r="E10" s="190" t="s">
        <v>156</v>
      </c>
      <c r="F10" s="190"/>
      <c r="G10" s="35" t="s">
        <v>20</v>
      </c>
      <c r="H10" s="48" t="s">
        <v>131</v>
      </c>
      <c r="U10" t="s">
        <v>175</v>
      </c>
      <c r="V10" t="s">
        <v>176</v>
      </c>
      <c r="W10" t="s">
        <v>173</v>
      </c>
      <c r="X10" t="s">
        <v>177</v>
      </c>
    </row>
    <row r="11" spans="2:24" ht="15.75" thickBot="1">
      <c r="B11" s="38" t="s">
        <v>4545</v>
      </c>
      <c r="C11" s="39"/>
      <c r="D11" s="39"/>
      <c r="E11" s="180">
        <v>3500</v>
      </c>
      <c r="F11" s="181"/>
      <c r="G11" s="108">
        <v>46026</v>
      </c>
      <c r="H11" s="53">
        <v>31000</v>
      </c>
      <c r="U11" t="s">
        <v>178</v>
      </c>
      <c r="V11" t="s">
        <v>179</v>
      </c>
      <c r="W11" t="s">
        <v>173</v>
      </c>
      <c r="X11" t="s">
        <v>180</v>
      </c>
    </row>
    <row r="12" spans="2:24">
      <c r="B12" s="29" t="s">
        <v>4556</v>
      </c>
      <c r="E12" s="180">
        <v>3000</v>
      </c>
      <c r="F12" s="181"/>
      <c r="G12" s="108">
        <v>46059</v>
      </c>
      <c r="H12" s="54"/>
      <c r="U12" t="s">
        <v>181</v>
      </c>
      <c r="V12" t="s">
        <v>182</v>
      </c>
      <c r="W12" t="s">
        <v>173</v>
      </c>
      <c r="X12" t="s">
        <v>183</v>
      </c>
    </row>
    <row r="13" spans="2:24">
      <c r="B13" s="40"/>
      <c r="C13" s="22"/>
      <c r="D13" s="22"/>
      <c r="E13" s="180">
        <v>3100</v>
      </c>
      <c r="F13" s="181"/>
      <c r="G13" s="139">
        <v>46073</v>
      </c>
      <c r="H13" s="55"/>
      <c r="U13" t="s">
        <v>184</v>
      </c>
      <c r="V13" t="s">
        <v>185</v>
      </c>
      <c r="W13" t="s">
        <v>173</v>
      </c>
      <c r="X13" t="s">
        <v>186</v>
      </c>
    </row>
    <row r="14" spans="2:24">
      <c r="B14" s="29"/>
      <c r="E14" s="180">
        <v>2050</v>
      </c>
      <c r="F14" s="181"/>
      <c r="G14" s="140">
        <v>46085</v>
      </c>
      <c r="H14" s="54"/>
      <c r="U14" t="s">
        <v>187</v>
      </c>
      <c r="V14" t="s">
        <v>188</v>
      </c>
      <c r="W14" t="s">
        <v>173</v>
      </c>
      <c r="X14" t="s">
        <v>189</v>
      </c>
    </row>
    <row r="15" spans="2:24">
      <c r="B15" s="40"/>
      <c r="C15" s="22"/>
      <c r="D15" s="22"/>
      <c r="E15" s="180"/>
      <c r="F15" s="181"/>
      <c r="G15" s="42"/>
      <c r="H15" s="55"/>
      <c r="U15" t="s">
        <v>190</v>
      </c>
      <c r="V15" t="s">
        <v>191</v>
      </c>
      <c r="W15" t="s">
        <v>173</v>
      </c>
      <c r="X15" t="s">
        <v>192</v>
      </c>
    </row>
    <row r="16" spans="2:24">
      <c r="B16" s="29"/>
      <c r="E16" s="180"/>
      <c r="F16" s="181"/>
      <c r="G16" s="32"/>
      <c r="H16" s="54"/>
      <c r="U16" t="s">
        <v>193</v>
      </c>
      <c r="V16" t="s">
        <v>194</v>
      </c>
      <c r="W16" t="s">
        <v>195</v>
      </c>
      <c r="X16" t="s">
        <v>196</v>
      </c>
    </row>
    <row r="17" spans="2:24">
      <c r="B17" s="40"/>
      <c r="C17" s="22"/>
      <c r="D17" s="22"/>
      <c r="E17" s="180"/>
      <c r="F17" s="181"/>
      <c r="G17" s="42"/>
      <c r="H17" s="55"/>
      <c r="U17" t="s">
        <v>197</v>
      </c>
      <c r="V17" t="s">
        <v>198</v>
      </c>
      <c r="W17" t="s">
        <v>195</v>
      </c>
      <c r="X17" t="s">
        <v>199</v>
      </c>
    </row>
    <row r="18" spans="2:24">
      <c r="B18" s="29"/>
      <c r="E18" s="180"/>
      <c r="F18" s="181"/>
      <c r="G18" s="32"/>
      <c r="H18" s="54"/>
      <c r="U18" t="s">
        <v>200</v>
      </c>
      <c r="V18" t="s">
        <v>201</v>
      </c>
      <c r="W18" t="s">
        <v>202</v>
      </c>
      <c r="X18" t="s">
        <v>203</v>
      </c>
    </row>
    <row r="19" spans="2:24">
      <c r="B19" s="40"/>
      <c r="C19" s="22"/>
      <c r="D19" s="22"/>
      <c r="E19" s="180"/>
      <c r="F19" s="181"/>
      <c r="G19" s="42"/>
      <c r="H19" s="55"/>
      <c r="U19" t="s">
        <v>204</v>
      </c>
      <c r="V19" t="s">
        <v>205</v>
      </c>
      <c r="W19" t="s">
        <v>202</v>
      </c>
      <c r="X19" t="s">
        <v>206</v>
      </c>
    </row>
    <row r="20" spans="2:24">
      <c r="B20" s="29"/>
      <c r="E20" s="180"/>
      <c r="F20" s="181"/>
      <c r="G20" s="32"/>
      <c r="H20" s="54"/>
      <c r="U20" t="s">
        <v>207</v>
      </c>
      <c r="V20" t="s">
        <v>208</v>
      </c>
      <c r="W20" t="s">
        <v>202</v>
      </c>
      <c r="X20" t="s">
        <v>207</v>
      </c>
    </row>
    <row r="21" spans="2:24">
      <c r="B21" s="40"/>
      <c r="C21" s="22"/>
      <c r="D21" s="22"/>
      <c r="E21" s="180"/>
      <c r="F21" s="181"/>
      <c r="G21" s="42"/>
      <c r="H21" s="55"/>
      <c r="U21" t="s">
        <v>4522</v>
      </c>
      <c r="V21" t="s">
        <v>4523</v>
      </c>
      <c r="W21" t="s">
        <v>4524</v>
      </c>
      <c r="X21" t="s">
        <v>4525</v>
      </c>
    </row>
    <row r="22" spans="2:24">
      <c r="B22" s="29"/>
      <c r="E22" s="180"/>
      <c r="F22" s="181"/>
      <c r="G22" s="32"/>
      <c r="H22" s="54"/>
      <c r="U22" t="s">
        <v>4526</v>
      </c>
      <c r="V22" t="s">
        <v>4527</v>
      </c>
      <c r="W22" t="s">
        <v>4524</v>
      </c>
      <c r="X22" t="s">
        <v>4525</v>
      </c>
    </row>
    <row r="23" spans="2:24">
      <c r="B23" s="40"/>
      <c r="C23" s="22"/>
      <c r="D23" s="22"/>
      <c r="E23" s="180"/>
      <c r="F23" s="181"/>
      <c r="G23" s="42"/>
      <c r="H23" s="55"/>
      <c r="U23" t="s">
        <v>4528</v>
      </c>
      <c r="V23" t="s">
        <v>4529</v>
      </c>
      <c r="W23" t="s">
        <v>4524</v>
      </c>
      <c r="X23" t="s">
        <v>4525</v>
      </c>
    </row>
    <row r="24" spans="2:24">
      <c r="B24" s="29"/>
      <c r="E24" s="180"/>
      <c r="F24" s="181"/>
      <c r="G24" s="32"/>
      <c r="H24" s="54"/>
      <c r="U24" t="s">
        <v>209</v>
      </c>
      <c r="V24" t="s">
        <v>210</v>
      </c>
      <c r="W24" t="s">
        <v>211</v>
      </c>
      <c r="X24" t="s">
        <v>212</v>
      </c>
    </row>
    <row r="25" spans="2:24">
      <c r="B25" s="40"/>
      <c r="C25" s="22"/>
      <c r="D25" s="22"/>
      <c r="E25" s="180"/>
      <c r="F25" s="181"/>
      <c r="G25" s="42"/>
      <c r="H25" s="55"/>
      <c r="U25" t="s">
        <v>213</v>
      </c>
      <c r="V25" t="s">
        <v>214</v>
      </c>
      <c r="W25" t="s">
        <v>211</v>
      </c>
      <c r="X25" t="s">
        <v>215</v>
      </c>
    </row>
    <row r="26" spans="2:24">
      <c r="B26" s="29"/>
      <c r="E26" s="180"/>
      <c r="F26" s="181"/>
      <c r="G26" s="32"/>
      <c r="H26" s="54"/>
      <c r="U26" t="s">
        <v>216</v>
      </c>
      <c r="V26" t="s">
        <v>217</v>
      </c>
      <c r="W26" t="s">
        <v>211</v>
      </c>
      <c r="X26" t="s">
        <v>218</v>
      </c>
    </row>
    <row r="27" spans="2:24">
      <c r="B27" s="40"/>
      <c r="C27" s="22"/>
      <c r="D27" s="22"/>
      <c r="E27" s="180"/>
      <c r="F27" s="181"/>
      <c r="G27" s="42"/>
      <c r="H27" s="55"/>
      <c r="U27" t="s">
        <v>219</v>
      </c>
      <c r="V27" t="s">
        <v>220</v>
      </c>
      <c r="W27" t="s">
        <v>221</v>
      </c>
      <c r="X27" t="s">
        <v>222</v>
      </c>
    </row>
    <row r="28" spans="2:24" ht="15.75" thickBot="1">
      <c r="B28" s="30"/>
      <c r="C28" s="31"/>
      <c r="D28" s="31"/>
      <c r="E28" s="180"/>
      <c r="F28" s="181"/>
      <c r="G28" s="33"/>
      <c r="H28" s="56"/>
      <c r="U28" t="s">
        <v>223</v>
      </c>
      <c r="V28" t="s">
        <v>224</v>
      </c>
      <c r="W28" t="s">
        <v>225</v>
      </c>
      <c r="X28" t="s">
        <v>226</v>
      </c>
    </row>
    <row r="29" spans="2:24">
      <c r="B29" s="40"/>
      <c r="C29" s="22"/>
      <c r="D29" s="22"/>
      <c r="E29" s="22"/>
      <c r="F29" s="22"/>
      <c r="G29" s="22" t="s">
        <v>132</v>
      </c>
      <c r="H29" s="55">
        <f>SUM(H11:H28)</f>
        <v>31000</v>
      </c>
      <c r="U29" t="s">
        <v>227</v>
      </c>
      <c r="V29" t="s">
        <v>228</v>
      </c>
      <c r="W29" t="s">
        <v>225</v>
      </c>
      <c r="X29" t="s">
        <v>229</v>
      </c>
    </row>
    <row r="30" spans="2:24">
      <c r="B30" s="29"/>
      <c r="G30" t="s">
        <v>4573</v>
      </c>
      <c r="H30" s="54">
        <f>H29-H34</f>
        <v>19350</v>
      </c>
      <c r="U30" t="s">
        <v>230</v>
      </c>
      <c r="V30" t="s">
        <v>231</v>
      </c>
      <c r="W30" t="s">
        <v>225</v>
      </c>
      <c r="X30" t="s">
        <v>232</v>
      </c>
    </row>
    <row r="31" spans="2:24">
      <c r="B31" s="40"/>
      <c r="C31" s="22"/>
      <c r="D31" s="22"/>
      <c r="E31" s="22"/>
      <c r="F31" s="22"/>
      <c r="G31" s="22" t="s">
        <v>133</v>
      </c>
      <c r="H31" s="57">
        <v>0</v>
      </c>
      <c r="U31" t="s">
        <v>233</v>
      </c>
      <c r="V31" t="s">
        <v>234</v>
      </c>
      <c r="W31" t="s">
        <v>235</v>
      </c>
      <c r="X31" t="s">
        <v>236</v>
      </c>
    </row>
    <row r="32" spans="2:24">
      <c r="B32" s="29"/>
      <c r="G32" s="36" t="s">
        <v>134</v>
      </c>
      <c r="H32" s="58">
        <v>0</v>
      </c>
      <c r="U32" t="s">
        <v>237</v>
      </c>
      <c r="V32" t="s">
        <v>238</v>
      </c>
      <c r="W32" t="s">
        <v>235</v>
      </c>
      <c r="X32" t="s">
        <v>239</v>
      </c>
    </row>
    <row r="33" spans="2:24">
      <c r="B33" s="40"/>
      <c r="C33" s="22"/>
      <c r="D33" s="22"/>
      <c r="E33" s="22"/>
      <c r="F33" s="22"/>
      <c r="G33" s="22"/>
      <c r="H33" s="55"/>
      <c r="U33" t="s">
        <v>240</v>
      </c>
      <c r="V33" t="s">
        <v>241</v>
      </c>
      <c r="W33" t="s">
        <v>242</v>
      </c>
      <c r="X33" t="s">
        <v>243</v>
      </c>
    </row>
    <row r="34" spans="2:24" ht="16.5" thickBot="1">
      <c r="B34" s="30"/>
      <c r="C34" s="31"/>
      <c r="D34" s="31"/>
      <c r="E34" s="31"/>
      <c r="F34" s="31"/>
      <c r="G34" s="37" t="s">
        <v>135</v>
      </c>
      <c r="H34" s="59">
        <f>SUM(E11:F28)</f>
        <v>11650</v>
      </c>
      <c r="U34" t="s">
        <v>244</v>
      </c>
      <c r="V34" t="s">
        <v>245</v>
      </c>
      <c r="W34" t="s">
        <v>242</v>
      </c>
      <c r="X34" t="s">
        <v>246</v>
      </c>
    </row>
    <row r="35" spans="2:24">
      <c r="U35" t="s">
        <v>247</v>
      </c>
      <c r="V35" t="s">
        <v>248</v>
      </c>
      <c r="W35" t="s">
        <v>242</v>
      </c>
      <c r="X35" t="s">
        <v>249</v>
      </c>
    </row>
    <row r="36" spans="2:24">
      <c r="U36" t="s">
        <v>250</v>
      </c>
      <c r="V36" t="s">
        <v>251</v>
      </c>
      <c r="W36" t="s">
        <v>242</v>
      </c>
      <c r="X36" t="s">
        <v>252</v>
      </c>
    </row>
    <row r="37" spans="2:24">
      <c r="U37" t="s">
        <v>253</v>
      </c>
      <c r="V37" t="s">
        <v>254</v>
      </c>
      <c r="W37" t="s">
        <v>242</v>
      </c>
      <c r="X37" t="s">
        <v>255</v>
      </c>
    </row>
    <row r="38" spans="2:24">
      <c r="U38" t="s">
        <v>256</v>
      </c>
      <c r="V38" t="s">
        <v>257</v>
      </c>
      <c r="W38" t="s">
        <v>242</v>
      </c>
      <c r="X38" t="s">
        <v>258</v>
      </c>
    </row>
    <row r="39" spans="2:24" ht="15.75" thickBot="1">
      <c r="U39" t="s">
        <v>259</v>
      </c>
      <c r="V39" t="s">
        <v>260</v>
      </c>
      <c r="W39" t="s">
        <v>242</v>
      </c>
      <c r="X39" t="s">
        <v>258</v>
      </c>
    </row>
    <row r="40" spans="2:24">
      <c r="B40" s="38"/>
      <c r="C40" s="39"/>
      <c r="D40" s="39"/>
      <c r="E40" s="39"/>
      <c r="F40" s="39"/>
      <c r="G40" s="39"/>
      <c r="H40" s="184" t="s">
        <v>136</v>
      </c>
      <c r="U40" t="s">
        <v>270</v>
      </c>
      <c r="V40" t="s">
        <v>271</v>
      </c>
      <c r="W40" t="s">
        <v>272</v>
      </c>
      <c r="X40" t="s">
        <v>258</v>
      </c>
    </row>
    <row r="41" spans="2:24">
      <c r="B41" s="46" t="s">
        <v>4543</v>
      </c>
      <c r="C41" s="22"/>
      <c r="D41" s="22"/>
      <c r="E41" s="22"/>
      <c r="F41" s="22"/>
      <c r="G41" s="22"/>
      <c r="H41" s="185"/>
      <c r="U41" t="s">
        <v>261</v>
      </c>
      <c r="V41" t="s">
        <v>262</v>
      </c>
      <c r="W41" t="s">
        <v>242</v>
      </c>
      <c r="X41" t="s">
        <v>263</v>
      </c>
    </row>
    <row r="42" spans="2:24">
      <c r="B42" s="46" t="s">
        <v>127</v>
      </c>
      <c r="C42" s="22"/>
      <c r="D42" s="22"/>
      <c r="E42" s="22"/>
      <c r="F42" s="22"/>
      <c r="G42" s="43" t="s">
        <v>20</v>
      </c>
      <c r="H42" s="107">
        <v>46037</v>
      </c>
      <c r="U42" t="s">
        <v>264</v>
      </c>
      <c r="V42" t="s">
        <v>265</v>
      </c>
      <c r="W42" t="s">
        <v>242</v>
      </c>
      <c r="X42" t="s">
        <v>266</v>
      </c>
    </row>
    <row r="43" spans="2:24">
      <c r="B43" s="47">
        <v>3121500044</v>
      </c>
      <c r="C43" s="22"/>
      <c r="D43" s="22"/>
      <c r="E43" s="22"/>
      <c r="F43" s="22"/>
      <c r="G43" s="45" t="s">
        <v>138</v>
      </c>
      <c r="H43" s="44" t="s">
        <v>137</v>
      </c>
      <c r="U43" t="s">
        <v>267</v>
      </c>
      <c r="V43" t="s">
        <v>268</v>
      </c>
      <c r="W43" t="s">
        <v>242</v>
      </c>
      <c r="X43" t="s">
        <v>269</v>
      </c>
    </row>
    <row r="44" spans="2:24">
      <c r="B44" s="46" t="s">
        <v>4549</v>
      </c>
      <c r="C44" s="22"/>
      <c r="D44" s="22"/>
      <c r="E44" s="22"/>
      <c r="F44" s="22"/>
      <c r="G44" s="22"/>
      <c r="H44" s="41"/>
      <c r="U44" t="s">
        <v>273</v>
      </c>
      <c r="V44" t="s">
        <v>274</v>
      </c>
      <c r="W44" t="s">
        <v>275</v>
      </c>
      <c r="X44" t="s">
        <v>276</v>
      </c>
    </row>
    <row r="45" spans="2:24">
      <c r="B45" s="186" t="s">
        <v>129</v>
      </c>
      <c r="C45" s="180"/>
      <c r="D45" s="45" t="s">
        <v>139</v>
      </c>
      <c r="E45" s="22"/>
      <c r="F45" s="22"/>
      <c r="G45" s="22"/>
      <c r="H45" s="41"/>
      <c r="U45" t="s">
        <v>277</v>
      </c>
      <c r="V45" t="s">
        <v>278</v>
      </c>
      <c r="W45" t="s">
        <v>275</v>
      </c>
      <c r="X45" t="s">
        <v>276</v>
      </c>
    </row>
    <row r="46" spans="2:24">
      <c r="B46" s="187"/>
      <c r="C46" s="188"/>
      <c r="D46" s="188"/>
      <c r="E46" s="188"/>
      <c r="F46" s="188"/>
      <c r="G46" s="188"/>
      <c r="H46" s="189"/>
      <c r="U46" t="s">
        <v>279</v>
      </c>
      <c r="V46" t="s">
        <v>280</v>
      </c>
      <c r="W46" t="s">
        <v>275</v>
      </c>
      <c r="X46" t="s">
        <v>281</v>
      </c>
    </row>
    <row r="47" spans="2:24" ht="15.75" thickBot="1">
      <c r="B47" s="52" t="s">
        <v>130</v>
      </c>
      <c r="C47" s="35"/>
      <c r="D47" s="35"/>
      <c r="E47" s="190" t="s">
        <v>156</v>
      </c>
      <c r="F47" s="190"/>
      <c r="G47" s="35" t="s">
        <v>20</v>
      </c>
      <c r="H47" s="48" t="s">
        <v>131</v>
      </c>
      <c r="U47" t="s">
        <v>282</v>
      </c>
      <c r="V47" t="s">
        <v>283</v>
      </c>
      <c r="W47" t="s">
        <v>284</v>
      </c>
      <c r="X47" t="s">
        <v>285</v>
      </c>
    </row>
    <row r="48" spans="2:24" ht="15.75" thickBot="1">
      <c r="B48" s="38" t="s">
        <v>4548</v>
      </c>
      <c r="C48" s="39"/>
      <c r="D48" s="39"/>
      <c r="E48" s="180">
        <v>0</v>
      </c>
      <c r="F48" s="181"/>
      <c r="G48" s="108">
        <v>45672</v>
      </c>
      <c r="H48" s="112">
        <v>20000</v>
      </c>
      <c r="U48" t="s">
        <v>286</v>
      </c>
      <c r="V48" t="s">
        <v>287</v>
      </c>
      <c r="W48" t="s">
        <v>284</v>
      </c>
      <c r="X48" t="s">
        <v>288</v>
      </c>
    </row>
    <row r="49" spans="2:24">
      <c r="B49" s="29" t="s">
        <v>4556</v>
      </c>
      <c r="E49" s="180">
        <v>10000</v>
      </c>
      <c r="F49" s="181"/>
      <c r="G49" s="108">
        <v>46059</v>
      </c>
      <c r="H49" s="54"/>
      <c r="U49" t="s">
        <v>289</v>
      </c>
      <c r="V49" t="s">
        <v>290</v>
      </c>
      <c r="W49" t="s">
        <v>284</v>
      </c>
      <c r="X49" t="s">
        <v>291</v>
      </c>
    </row>
    <row r="50" spans="2:24">
      <c r="B50" s="40"/>
      <c r="C50" s="22"/>
      <c r="D50" s="22"/>
      <c r="E50" s="180"/>
      <c r="F50" s="181"/>
      <c r="G50" s="42"/>
      <c r="H50" s="55"/>
      <c r="U50" t="s">
        <v>292</v>
      </c>
      <c r="V50" t="s">
        <v>293</v>
      </c>
      <c r="W50" t="s">
        <v>294</v>
      </c>
      <c r="X50" t="s">
        <v>295</v>
      </c>
    </row>
    <row r="51" spans="2:24">
      <c r="B51" s="29"/>
      <c r="E51" s="180"/>
      <c r="F51" s="181"/>
      <c r="G51" s="32"/>
      <c r="H51" s="54"/>
      <c r="U51" t="s">
        <v>296</v>
      </c>
      <c r="V51" t="s">
        <v>297</v>
      </c>
      <c r="W51" t="s">
        <v>294</v>
      </c>
      <c r="X51" t="s">
        <v>296</v>
      </c>
    </row>
    <row r="52" spans="2:24">
      <c r="B52" s="40"/>
      <c r="C52" s="22"/>
      <c r="D52" s="22"/>
      <c r="E52" s="180"/>
      <c r="F52" s="181"/>
      <c r="G52" s="42"/>
      <c r="H52" s="55"/>
      <c r="U52" t="s">
        <v>298</v>
      </c>
      <c r="V52" t="s">
        <v>299</v>
      </c>
      <c r="W52" t="s">
        <v>294</v>
      </c>
      <c r="X52" t="s">
        <v>300</v>
      </c>
    </row>
    <row r="53" spans="2:24">
      <c r="B53" s="29"/>
      <c r="E53" s="180"/>
      <c r="F53" s="181"/>
      <c r="G53" s="32"/>
      <c r="H53" s="54"/>
      <c r="U53" t="s">
        <v>301</v>
      </c>
      <c r="V53" t="s">
        <v>302</v>
      </c>
      <c r="W53" t="s">
        <v>303</v>
      </c>
      <c r="X53" t="s">
        <v>304</v>
      </c>
    </row>
    <row r="54" spans="2:24">
      <c r="B54" s="40"/>
      <c r="C54" s="22"/>
      <c r="D54" s="22"/>
      <c r="E54" s="180"/>
      <c r="F54" s="181"/>
      <c r="G54" s="42"/>
      <c r="H54" s="55"/>
      <c r="U54" t="s">
        <v>305</v>
      </c>
      <c r="V54" t="s">
        <v>306</v>
      </c>
      <c r="W54" t="s">
        <v>303</v>
      </c>
      <c r="X54" t="s">
        <v>307</v>
      </c>
    </row>
    <row r="55" spans="2:24">
      <c r="B55" s="29"/>
      <c r="E55" s="180"/>
      <c r="F55" s="181"/>
      <c r="G55" s="32"/>
      <c r="H55" s="54"/>
      <c r="U55" t="s">
        <v>308</v>
      </c>
      <c r="V55" t="s">
        <v>309</v>
      </c>
      <c r="W55" t="s">
        <v>310</v>
      </c>
      <c r="X55" t="s">
        <v>311</v>
      </c>
    </row>
    <row r="56" spans="2:24">
      <c r="B56" s="40"/>
      <c r="C56" s="22"/>
      <c r="D56" s="22"/>
      <c r="E56" s="180"/>
      <c r="F56" s="181"/>
      <c r="G56" s="42"/>
      <c r="H56" s="55"/>
      <c r="U56" t="s">
        <v>312</v>
      </c>
      <c r="V56" t="s">
        <v>278</v>
      </c>
      <c r="W56" t="s">
        <v>310</v>
      </c>
      <c r="X56" t="s">
        <v>313</v>
      </c>
    </row>
    <row r="57" spans="2:24">
      <c r="B57" s="29"/>
      <c r="E57" s="180"/>
      <c r="F57" s="181"/>
      <c r="G57" s="32"/>
      <c r="H57" s="54"/>
      <c r="U57" t="s">
        <v>314</v>
      </c>
      <c r="V57" t="s">
        <v>315</v>
      </c>
      <c r="W57" t="s">
        <v>310</v>
      </c>
      <c r="X57" t="s">
        <v>313</v>
      </c>
    </row>
    <row r="58" spans="2:24">
      <c r="B58" s="40"/>
      <c r="C58" s="22"/>
      <c r="D58" s="22"/>
      <c r="E58" s="180"/>
      <c r="F58" s="181"/>
      <c r="G58" s="42"/>
      <c r="H58" s="55"/>
      <c r="U58" t="s">
        <v>316</v>
      </c>
      <c r="V58" t="s">
        <v>274</v>
      </c>
      <c r="W58" t="s">
        <v>310</v>
      </c>
      <c r="X58" t="s">
        <v>317</v>
      </c>
    </row>
    <row r="59" spans="2:24">
      <c r="B59" s="29"/>
      <c r="E59" s="180"/>
      <c r="F59" s="181"/>
      <c r="G59" s="32"/>
      <c r="H59" s="54"/>
      <c r="U59" t="s">
        <v>318</v>
      </c>
      <c r="V59" t="s">
        <v>319</v>
      </c>
      <c r="W59" t="s">
        <v>310</v>
      </c>
      <c r="X59" t="s">
        <v>320</v>
      </c>
    </row>
    <row r="60" spans="2:24">
      <c r="B60" s="40"/>
      <c r="C60" s="22"/>
      <c r="D60" s="22"/>
      <c r="E60" s="180"/>
      <c r="F60" s="181"/>
      <c r="G60" s="42"/>
      <c r="H60" s="55"/>
      <c r="U60" t="s">
        <v>321</v>
      </c>
      <c r="V60" t="s">
        <v>322</v>
      </c>
      <c r="W60" t="s">
        <v>310</v>
      </c>
      <c r="X60" t="s">
        <v>323</v>
      </c>
    </row>
    <row r="61" spans="2:24">
      <c r="B61" s="29"/>
      <c r="E61" s="180"/>
      <c r="F61" s="181"/>
      <c r="G61" s="32"/>
      <c r="H61" s="54"/>
      <c r="U61" t="s">
        <v>324</v>
      </c>
      <c r="V61" t="s">
        <v>325</v>
      </c>
      <c r="W61" t="s">
        <v>310</v>
      </c>
      <c r="X61" t="s">
        <v>326</v>
      </c>
    </row>
    <row r="62" spans="2:24">
      <c r="B62" s="40"/>
      <c r="C62" s="22"/>
      <c r="D62" s="22"/>
      <c r="E62" s="180"/>
      <c r="F62" s="181"/>
      <c r="G62" s="42"/>
      <c r="H62" s="55"/>
      <c r="U62" t="s">
        <v>327</v>
      </c>
      <c r="V62" t="s">
        <v>328</v>
      </c>
      <c r="W62" t="s">
        <v>310</v>
      </c>
      <c r="X62" t="s">
        <v>329</v>
      </c>
    </row>
    <row r="63" spans="2:24">
      <c r="B63" s="29"/>
      <c r="E63" s="180"/>
      <c r="F63" s="181"/>
      <c r="G63" s="32"/>
      <c r="H63" s="54"/>
      <c r="U63" t="s">
        <v>330</v>
      </c>
      <c r="V63" t="s">
        <v>331</v>
      </c>
      <c r="W63" t="s">
        <v>332</v>
      </c>
      <c r="X63" t="s">
        <v>333</v>
      </c>
    </row>
    <row r="64" spans="2:24">
      <c r="B64" s="40"/>
      <c r="C64" s="22"/>
      <c r="D64" s="22"/>
      <c r="E64" s="180"/>
      <c r="F64" s="181"/>
      <c r="G64" s="42"/>
      <c r="H64" s="55"/>
      <c r="U64" t="s">
        <v>334</v>
      </c>
      <c r="V64" t="s">
        <v>335</v>
      </c>
      <c r="W64" t="s">
        <v>332</v>
      </c>
      <c r="X64" t="s">
        <v>336</v>
      </c>
    </row>
    <row r="65" spans="2:24" ht="15.75" thickBot="1">
      <c r="B65" s="30"/>
      <c r="C65" s="31"/>
      <c r="D65" s="31"/>
      <c r="E65" s="182"/>
      <c r="F65" s="183"/>
      <c r="G65" s="33"/>
      <c r="H65" s="56"/>
      <c r="U65" t="s">
        <v>4532</v>
      </c>
      <c r="V65" t="s">
        <v>4533</v>
      </c>
      <c r="W65" t="s">
        <v>284</v>
      </c>
      <c r="X65" t="s">
        <v>4534</v>
      </c>
    </row>
    <row r="66" spans="2:24">
      <c r="B66" s="40"/>
      <c r="C66" s="22"/>
      <c r="D66" s="22"/>
      <c r="E66" s="22"/>
      <c r="F66" s="22"/>
      <c r="G66" s="22" t="s">
        <v>132</v>
      </c>
      <c r="H66" s="55">
        <f>SUM(H48:H65)</f>
        <v>20000</v>
      </c>
    </row>
    <row r="67" spans="2:24">
      <c r="B67" s="29"/>
      <c r="G67" t="s">
        <v>157</v>
      </c>
      <c r="H67" s="54">
        <f>H66-H71</f>
        <v>10000</v>
      </c>
    </row>
    <row r="68" spans="2:24">
      <c r="B68" s="40"/>
      <c r="C68" s="22"/>
      <c r="D68" s="22"/>
      <c r="E68" s="22"/>
      <c r="F68" s="22"/>
      <c r="G68" s="22" t="s">
        <v>133</v>
      </c>
      <c r="H68" s="57">
        <v>0</v>
      </c>
    </row>
    <row r="69" spans="2:24">
      <c r="B69" s="29"/>
      <c r="G69" s="36" t="s">
        <v>134</v>
      </c>
      <c r="H69" s="58">
        <v>0</v>
      </c>
    </row>
    <row r="70" spans="2:24">
      <c r="B70" s="40"/>
      <c r="C70" s="22"/>
      <c r="D70" s="22"/>
      <c r="E70" s="22"/>
      <c r="F70" s="22"/>
      <c r="G70" s="22"/>
      <c r="H70" s="55"/>
    </row>
    <row r="71" spans="2:24" ht="16.5" thickBot="1">
      <c r="B71" s="30"/>
      <c r="C71" s="31"/>
      <c r="D71" s="31"/>
      <c r="E71" s="31"/>
      <c r="F71" s="31"/>
      <c r="G71" s="37" t="s">
        <v>135</v>
      </c>
      <c r="H71" s="59">
        <f>SUM(E48:F65)</f>
        <v>10000</v>
      </c>
    </row>
  </sheetData>
  <autoFilter ref="U6:X65" xr:uid="{16027FCA-FB21-490E-9F11-3C9DC9BD9BB3}">
    <sortState xmlns:xlrd2="http://schemas.microsoft.com/office/spreadsheetml/2017/richdata2" ref="U33:X43">
      <sortCondition ref="X6:X65"/>
    </sortState>
  </autoFilter>
  <mergeCells count="44">
    <mergeCell ref="B9:H9"/>
    <mergeCell ref="E28:F28"/>
    <mergeCell ref="B8:C8"/>
    <mergeCell ref="H3:H4"/>
    <mergeCell ref="E10:F10"/>
    <mergeCell ref="E26:F26"/>
    <mergeCell ref="E27:F27"/>
    <mergeCell ref="E11:F11"/>
    <mergeCell ref="E12:F12"/>
    <mergeCell ref="E13:F13"/>
    <mergeCell ref="E14:F14"/>
    <mergeCell ref="E15:F15"/>
    <mergeCell ref="E16:F16"/>
    <mergeCell ref="E17:F17"/>
    <mergeCell ref="E18:F18"/>
    <mergeCell ref="E19:F19"/>
    <mergeCell ref="E25:F25"/>
    <mergeCell ref="E20:F20"/>
    <mergeCell ref="E21:F21"/>
    <mergeCell ref="E22:F22"/>
    <mergeCell ref="E23:F23"/>
    <mergeCell ref="E24:F24"/>
    <mergeCell ref="H40:H41"/>
    <mergeCell ref="B45:C45"/>
    <mergeCell ref="B46:H46"/>
    <mergeCell ref="E47:F47"/>
    <mergeCell ref="E48:F48"/>
    <mergeCell ref="E49:F49"/>
    <mergeCell ref="E50:F50"/>
    <mergeCell ref="E51:F51"/>
    <mergeCell ref="E52:F52"/>
    <mergeCell ref="E53:F53"/>
    <mergeCell ref="E54:F54"/>
    <mergeCell ref="E55:F55"/>
    <mergeCell ref="E56:F56"/>
    <mergeCell ref="E57:F57"/>
    <mergeCell ref="E58:F58"/>
    <mergeCell ref="E64:F64"/>
    <mergeCell ref="E65:F65"/>
    <mergeCell ref="E59:F59"/>
    <mergeCell ref="E60:F60"/>
    <mergeCell ref="E61:F61"/>
    <mergeCell ref="E62:F62"/>
    <mergeCell ref="E63:F63"/>
  </mergeCells>
  <pageMargins left="0.7" right="0.7" top="0.75" bottom="0.75" header="0.3" footer="0.3"/>
  <pageSetup scale="8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85ACB7-9234-4AF8-82CD-F4BB49C4C8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DV Details </vt:lpstr>
      <vt:lpstr>Sheet1</vt:lpstr>
      <vt:lpstr>Ghazi Abu Bakkar</vt:lpstr>
      <vt:lpstr>SIM &amp; Emp data</vt:lpstr>
      <vt:lpstr>DV Table</vt:lpstr>
      <vt:lpstr>Gate pass </vt:lpstr>
      <vt:lpstr>IRFAN</vt:lpstr>
      <vt:lpstr>COD Sunday</vt:lpstr>
      <vt:lpstr>Sunday Details</vt:lpstr>
      <vt:lpstr>SUnday </vt:lpstr>
      <vt:lpstr>HO Delete Remarks</vt:lpstr>
      <vt:lpstr>Zeeshan </vt:lpstr>
      <vt:lpstr> RTS OLD CN DATA</vt:lpstr>
      <vt:lpstr>Shevoice 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AYAZ</dc:creator>
  <cp:lastModifiedBy>Ayaz Hussain Shah</cp:lastModifiedBy>
  <cp:lastPrinted>2026-05-02T07:02:03Z</cp:lastPrinted>
  <dcterms:created xsi:type="dcterms:W3CDTF">2015-06-05T18:17:20Z</dcterms:created>
  <dcterms:modified xsi:type="dcterms:W3CDTF">2026-05-06T14:42:41Z</dcterms:modified>
</cp:coreProperties>
</file>